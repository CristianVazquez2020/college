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hidePivotFieldList="1"/>
  <mc:AlternateContent xmlns:mc="http://schemas.openxmlformats.org/markup-compatibility/2006">
    <mc:Choice Requires="x15">
      <x15ac:absPath xmlns:x15ac="http://schemas.microsoft.com/office/spreadsheetml/2010/11/ac" url="https://hancockcollege.sharepoint.com/sites/VOCE7107-IntroductiontoMicrosoftExcel41730/Shared Documents/General/Lessons/"/>
    </mc:Choice>
  </mc:AlternateContent>
  <xr:revisionPtr revIDLastSave="756" documentId="8_{2D8B7DAD-831D-48EF-87F6-5386FFC29D2C}" xr6:coauthVersionLast="47" xr6:coauthVersionMax="47" xr10:uidLastSave="{6F433B01-41FB-41EB-96DE-1C74CA963A6C}"/>
  <bookViews>
    <workbookView xWindow="-120" yWindow="-120" windowWidth="19440" windowHeight="10320" firstSheet="3" activeTab="2" xr2:uid="{A9B06031-00CC-4314-898D-9880710E0FD4}"/>
  </bookViews>
  <sheets>
    <sheet name="Multipliers" sheetId="8" r:id="rId1"/>
    <sheet name="Dept Base Price" sheetId="2" r:id="rId2"/>
    <sheet name="Grocery Data" sheetId="11" r:id="rId3"/>
    <sheet name="Sheet2" sheetId="13" r:id="rId4"/>
    <sheet name="Sheet1" sheetId="12" r:id="rId5"/>
  </sheets>
  <definedNames>
    <definedName name="high_increase">Multipliers!$B$16</definedName>
    <definedName name="low_increase">Multipliers!$A$16</definedName>
  </definedNames>
  <calcPr calcId="191028"/>
  <pivotCaches>
    <pivotCache cacheId="31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43" i="11" l="1"/>
  <c r="K844" i="11"/>
  <c r="K845" i="11"/>
  <c r="K846" i="11"/>
  <c r="K847" i="11"/>
  <c r="K848" i="11"/>
  <c r="K849" i="11"/>
  <c r="K850" i="11"/>
  <c r="K851" i="11"/>
  <c r="K852" i="11"/>
  <c r="K853" i="11"/>
  <c r="K854" i="11"/>
  <c r="K855" i="11"/>
  <c r="K856" i="11"/>
  <c r="K857" i="11"/>
  <c r="K858" i="11"/>
  <c r="K859" i="11"/>
  <c r="K860" i="11"/>
  <c r="K861" i="11"/>
  <c r="K862" i="11"/>
  <c r="K863" i="11"/>
  <c r="K864" i="11"/>
  <c r="K865" i="11"/>
  <c r="K866" i="11"/>
  <c r="K867" i="11"/>
  <c r="K868" i="11"/>
  <c r="K869" i="11"/>
  <c r="K870" i="11"/>
  <c r="K871" i="11"/>
  <c r="K872" i="11"/>
  <c r="K873" i="11"/>
  <c r="K874" i="11"/>
  <c r="K875" i="11"/>
  <c r="K876" i="11"/>
  <c r="K877" i="11"/>
  <c r="K878" i="11"/>
  <c r="K879" i="11"/>
  <c r="K880" i="11"/>
  <c r="K881" i="11"/>
  <c r="K882" i="11"/>
  <c r="K883" i="11"/>
  <c r="K884" i="11"/>
  <c r="K885" i="11"/>
  <c r="K886" i="11"/>
  <c r="K887" i="11"/>
  <c r="K888" i="11"/>
  <c r="K889" i="11"/>
  <c r="K890" i="11"/>
  <c r="K891" i="11"/>
  <c r="K892" i="11"/>
  <c r="K893" i="11"/>
  <c r="K894" i="11"/>
  <c r="K895" i="11"/>
  <c r="K896" i="11"/>
  <c r="K897" i="11"/>
  <c r="K898" i="11"/>
  <c r="K899" i="11"/>
  <c r="K900" i="11"/>
  <c r="K901" i="11"/>
  <c r="K902" i="11"/>
  <c r="K903" i="11"/>
  <c r="K904" i="11"/>
  <c r="K905" i="11"/>
  <c r="K906" i="11"/>
  <c r="K907" i="11"/>
  <c r="K908" i="11"/>
  <c r="K909" i="11"/>
  <c r="K910" i="11"/>
  <c r="K911" i="11"/>
  <c r="K912" i="11"/>
  <c r="K913" i="11"/>
  <c r="K914" i="11"/>
  <c r="K915" i="11"/>
  <c r="K916" i="11"/>
  <c r="K917" i="11"/>
  <c r="K918" i="11"/>
  <c r="K919" i="11"/>
  <c r="K920" i="11"/>
  <c r="K921" i="11"/>
  <c r="K842" i="11"/>
  <c r="M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M230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248" i="11"/>
  <c r="M249" i="11"/>
  <c r="M250" i="11"/>
  <c r="M251" i="11"/>
  <c r="M252" i="11"/>
  <c r="M253" i="11"/>
  <c r="M254" i="11"/>
  <c r="M255" i="11"/>
  <c r="M256" i="11"/>
  <c r="M257" i="11"/>
  <c r="M258" i="11"/>
  <c r="M259" i="11"/>
  <c r="M260" i="11"/>
  <c r="M261" i="11"/>
  <c r="M262" i="11"/>
  <c r="M263" i="11"/>
  <c r="M264" i="11"/>
  <c r="M265" i="11"/>
  <c r="M266" i="11"/>
  <c r="M267" i="11"/>
  <c r="M268" i="11"/>
  <c r="M269" i="11"/>
  <c r="M270" i="11"/>
  <c r="M271" i="11"/>
  <c r="M272" i="11"/>
  <c r="M273" i="11"/>
  <c r="M274" i="11"/>
  <c r="M275" i="11"/>
  <c r="M276" i="11"/>
  <c r="M277" i="11"/>
  <c r="M278" i="11"/>
  <c r="M279" i="11"/>
  <c r="M280" i="11"/>
  <c r="M281" i="11"/>
  <c r="M282" i="11"/>
  <c r="M283" i="11"/>
  <c r="M284" i="11"/>
  <c r="M285" i="11"/>
  <c r="M286" i="11"/>
  <c r="M287" i="11"/>
  <c r="M288" i="11"/>
  <c r="M289" i="11"/>
  <c r="M290" i="11"/>
  <c r="M291" i="11"/>
  <c r="M292" i="11"/>
  <c r="M293" i="11"/>
  <c r="M294" i="11"/>
  <c r="M295" i="11"/>
  <c r="M296" i="11"/>
  <c r="M297" i="11"/>
  <c r="M298" i="11"/>
  <c r="M299" i="11"/>
  <c r="M300" i="11"/>
  <c r="M301" i="11"/>
  <c r="M302" i="11"/>
  <c r="M303" i="11"/>
  <c r="M304" i="11"/>
  <c r="M305" i="11"/>
  <c r="M306" i="11"/>
  <c r="M307" i="11"/>
  <c r="M308" i="11"/>
  <c r="M309" i="11"/>
  <c r="M310" i="11"/>
  <c r="M311" i="11"/>
  <c r="M312" i="11"/>
  <c r="M313" i="11"/>
  <c r="M314" i="11"/>
  <c r="M315" i="11"/>
  <c r="M316" i="11"/>
  <c r="M317" i="11"/>
  <c r="M318" i="11"/>
  <c r="M319" i="11"/>
  <c r="M320" i="11"/>
  <c r="M321" i="11"/>
  <c r="M322" i="11"/>
  <c r="M323" i="11"/>
  <c r="M324" i="11"/>
  <c r="M325" i="11"/>
  <c r="M326" i="11"/>
  <c r="M327" i="11"/>
  <c r="M328" i="11"/>
  <c r="M329" i="11"/>
  <c r="M330" i="11"/>
  <c r="M331" i="11"/>
  <c r="M332" i="11"/>
  <c r="M333" i="11"/>
  <c r="M334" i="11"/>
  <c r="M335" i="11"/>
  <c r="M336" i="11"/>
  <c r="M337" i="11"/>
  <c r="M338" i="11"/>
  <c r="M339" i="11"/>
  <c r="M340" i="11"/>
  <c r="M341" i="11"/>
  <c r="M342" i="11"/>
  <c r="M343" i="11"/>
  <c r="M344" i="11"/>
  <c r="M345" i="11"/>
  <c r="M346" i="11"/>
  <c r="M347" i="11"/>
  <c r="M348" i="11"/>
  <c r="M349" i="11"/>
  <c r="M350" i="11"/>
  <c r="M351" i="11"/>
  <c r="M352" i="11"/>
  <c r="M353" i="11"/>
  <c r="M354" i="11"/>
  <c r="M355" i="11"/>
  <c r="M356" i="11"/>
  <c r="M357" i="11"/>
  <c r="M358" i="11"/>
  <c r="M359" i="11"/>
  <c r="M360" i="11"/>
  <c r="M361" i="11"/>
  <c r="M362" i="11"/>
  <c r="M363" i="11"/>
  <c r="M364" i="11"/>
  <c r="M365" i="11"/>
  <c r="M366" i="11"/>
  <c r="M367" i="11"/>
  <c r="M368" i="11"/>
  <c r="M369" i="11"/>
  <c r="M370" i="11"/>
  <c r="M371" i="11"/>
  <c r="M372" i="11"/>
  <c r="M373" i="11"/>
  <c r="M374" i="11"/>
  <c r="M375" i="11"/>
  <c r="M376" i="11"/>
  <c r="M377" i="11"/>
  <c r="M378" i="11"/>
  <c r="M379" i="11"/>
  <c r="M380" i="11"/>
  <c r="M381" i="11"/>
  <c r="M382" i="11"/>
  <c r="M383" i="11"/>
  <c r="M384" i="11"/>
  <c r="M385" i="11"/>
  <c r="M386" i="11"/>
  <c r="M387" i="11"/>
  <c r="M388" i="11"/>
  <c r="M389" i="11"/>
  <c r="M390" i="11"/>
  <c r="M391" i="11"/>
  <c r="M392" i="11"/>
  <c r="M393" i="11"/>
  <c r="M394" i="11"/>
  <c r="M395" i="11"/>
  <c r="M396" i="11"/>
  <c r="M397" i="11"/>
  <c r="M398" i="11"/>
  <c r="M399" i="11"/>
  <c r="M400" i="11"/>
  <c r="M401" i="11"/>
  <c r="M402" i="11"/>
  <c r="M403" i="11"/>
  <c r="M404" i="11"/>
  <c r="M405" i="11"/>
  <c r="M406" i="11"/>
  <c r="M407" i="11"/>
  <c r="M408" i="11"/>
  <c r="M409" i="11"/>
  <c r="M410" i="11"/>
  <c r="M411" i="11"/>
  <c r="M412" i="11"/>
  <c r="M413" i="11"/>
  <c r="M414" i="11"/>
  <c r="M415" i="11"/>
  <c r="M416" i="11"/>
  <c r="M417" i="11"/>
  <c r="M418" i="11"/>
  <c r="M419" i="11"/>
  <c r="M420" i="11"/>
  <c r="M421" i="11"/>
  <c r="M422" i="11"/>
  <c r="M423" i="11"/>
  <c r="M424" i="11"/>
  <c r="M425" i="11"/>
  <c r="M426" i="11"/>
  <c r="M427" i="11"/>
  <c r="M428" i="11"/>
  <c r="M429" i="11"/>
  <c r="M430" i="11"/>
  <c r="M431" i="11"/>
  <c r="M432" i="11"/>
  <c r="M433" i="11"/>
  <c r="M434" i="11"/>
  <c r="M435" i="11"/>
  <c r="M436" i="11"/>
  <c r="M437" i="11"/>
  <c r="M438" i="11"/>
  <c r="M439" i="11"/>
  <c r="M440" i="11"/>
  <c r="M441" i="11"/>
  <c r="M442" i="11"/>
  <c r="M443" i="11"/>
  <c r="M444" i="11"/>
  <c r="M445" i="11"/>
  <c r="M446" i="11"/>
  <c r="M447" i="11"/>
  <c r="M448" i="11"/>
  <c r="M449" i="11"/>
  <c r="M450" i="11"/>
  <c r="M451" i="11"/>
  <c r="M452" i="11"/>
  <c r="M453" i="11"/>
  <c r="M454" i="11"/>
  <c r="M455" i="11"/>
  <c r="M456" i="11"/>
  <c r="M457" i="11"/>
  <c r="M458" i="11"/>
  <c r="M459" i="11"/>
  <c r="M460" i="11"/>
  <c r="M461" i="11"/>
  <c r="M462" i="11"/>
  <c r="M463" i="11"/>
  <c r="M464" i="11"/>
  <c r="M465" i="11"/>
  <c r="M466" i="11"/>
  <c r="M467" i="11"/>
  <c r="M468" i="11"/>
  <c r="M469" i="11"/>
  <c r="M470" i="11"/>
  <c r="M471" i="11"/>
  <c r="M472" i="11"/>
  <c r="M473" i="11"/>
  <c r="M474" i="11"/>
  <c r="M475" i="11"/>
  <c r="M476" i="11"/>
  <c r="M477" i="11"/>
  <c r="M478" i="11"/>
  <c r="M479" i="11"/>
  <c r="M480" i="11"/>
  <c r="M481" i="11"/>
  <c r="M482" i="11"/>
  <c r="M483" i="11"/>
  <c r="M484" i="11"/>
  <c r="M485" i="11"/>
  <c r="M486" i="11"/>
  <c r="M487" i="11"/>
  <c r="M488" i="11"/>
  <c r="M489" i="11"/>
  <c r="M490" i="11"/>
  <c r="M491" i="11"/>
  <c r="M492" i="11"/>
  <c r="M493" i="11"/>
  <c r="M494" i="11"/>
  <c r="M495" i="11"/>
  <c r="M496" i="11"/>
  <c r="M497" i="11"/>
  <c r="M498" i="11"/>
  <c r="M499" i="11"/>
  <c r="M500" i="11"/>
  <c r="M501" i="11"/>
  <c r="M502" i="11"/>
  <c r="M503" i="11"/>
  <c r="M504" i="11"/>
  <c r="M505" i="11"/>
  <c r="M506" i="11"/>
  <c r="M507" i="11"/>
  <c r="M508" i="11"/>
  <c r="M509" i="11"/>
  <c r="M510" i="11"/>
  <c r="M511" i="11"/>
  <c r="M512" i="11"/>
  <c r="M513" i="11"/>
  <c r="M514" i="11"/>
  <c r="M515" i="11"/>
  <c r="M516" i="11"/>
  <c r="M517" i="11"/>
  <c r="M518" i="11"/>
  <c r="M519" i="11"/>
  <c r="M520" i="11"/>
  <c r="M521" i="11"/>
  <c r="M522" i="11"/>
  <c r="M523" i="11"/>
  <c r="M524" i="11"/>
  <c r="M525" i="11"/>
  <c r="M526" i="11"/>
  <c r="M527" i="11"/>
  <c r="M528" i="11"/>
  <c r="M529" i="11"/>
  <c r="M530" i="11"/>
  <c r="M531" i="11"/>
  <c r="M532" i="11"/>
  <c r="M533" i="11"/>
  <c r="M534" i="11"/>
  <c r="M535" i="11"/>
  <c r="M536" i="11"/>
  <c r="M537" i="11"/>
  <c r="M538" i="11"/>
  <c r="M539" i="11"/>
  <c r="M540" i="11"/>
  <c r="M541" i="11"/>
  <c r="M542" i="11"/>
  <c r="M543" i="11"/>
  <c r="M544" i="11"/>
  <c r="M545" i="11"/>
  <c r="M546" i="11"/>
  <c r="M547" i="11"/>
  <c r="M548" i="11"/>
  <c r="M549" i="11"/>
  <c r="M550" i="11"/>
  <c r="M551" i="11"/>
  <c r="M552" i="11"/>
  <c r="M553" i="11"/>
  <c r="M554" i="11"/>
  <c r="M555" i="11"/>
  <c r="M556" i="11"/>
  <c r="M557" i="11"/>
  <c r="M558" i="11"/>
  <c r="M559" i="11"/>
  <c r="M560" i="11"/>
  <c r="M561" i="11"/>
  <c r="M562" i="11"/>
  <c r="M563" i="11"/>
  <c r="M564" i="11"/>
  <c r="M565" i="11"/>
  <c r="M566" i="11"/>
  <c r="M567" i="11"/>
  <c r="M568" i="11"/>
  <c r="M569" i="11"/>
  <c r="M570" i="11"/>
  <c r="M571" i="11"/>
  <c r="M572" i="11"/>
  <c r="M573" i="11"/>
  <c r="M574" i="11"/>
  <c r="M575" i="11"/>
  <c r="M576" i="11"/>
  <c r="M577" i="11"/>
  <c r="M578" i="11"/>
  <c r="M579" i="11"/>
  <c r="M580" i="11"/>
  <c r="M581" i="11"/>
  <c r="M582" i="11"/>
  <c r="M583" i="11"/>
  <c r="M584" i="11"/>
  <c r="M585" i="11"/>
  <c r="M586" i="11"/>
  <c r="M587" i="11"/>
  <c r="M588" i="11"/>
  <c r="M589" i="11"/>
  <c r="M590" i="11"/>
  <c r="M591" i="11"/>
  <c r="M592" i="11"/>
  <c r="M593" i="11"/>
  <c r="M594" i="11"/>
  <c r="M595" i="11"/>
  <c r="M596" i="11"/>
  <c r="M597" i="11"/>
  <c r="M598" i="11"/>
  <c r="M599" i="11"/>
  <c r="M600" i="11"/>
  <c r="M601" i="11"/>
  <c r="M602" i="11"/>
  <c r="M603" i="11"/>
  <c r="M604" i="11"/>
  <c r="M605" i="11"/>
  <c r="M606" i="11"/>
  <c r="M607" i="11"/>
  <c r="M608" i="11"/>
  <c r="M609" i="11"/>
  <c r="M610" i="11"/>
  <c r="M611" i="11"/>
  <c r="M612" i="11"/>
  <c r="M613" i="11"/>
  <c r="M614" i="11"/>
  <c r="M615" i="11"/>
  <c r="M616" i="11"/>
  <c r="M617" i="11"/>
  <c r="M618" i="11"/>
  <c r="M619" i="11"/>
  <c r="M620" i="11"/>
  <c r="M621" i="11"/>
  <c r="M622" i="11"/>
  <c r="M623" i="11"/>
  <c r="M624" i="11"/>
  <c r="M625" i="11"/>
  <c r="M626" i="11"/>
  <c r="M627" i="11"/>
  <c r="M628" i="11"/>
  <c r="M629" i="11"/>
  <c r="M630" i="11"/>
  <c r="M631" i="11"/>
  <c r="M632" i="11"/>
  <c r="M633" i="11"/>
  <c r="M634" i="11"/>
  <c r="M635" i="11"/>
  <c r="M636" i="11"/>
  <c r="M637" i="11"/>
  <c r="M638" i="11"/>
  <c r="M639" i="11"/>
  <c r="M640" i="11"/>
  <c r="M641" i="11"/>
  <c r="M642" i="11"/>
  <c r="M643" i="11"/>
  <c r="M644" i="11"/>
  <c r="M645" i="11"/>
  <c r="M646" i="11"/>
  <c r="M647" i="11"/>
  <c r="M648" i="11"/>
  <c r="M649" i="11"/>
  <c r="M650" i="11"/>
  <c r="M651" i="11"/>
  <c r="M652" i="11"/>
  <c r="M653" i="11"/>
  <c r="M654" i="11"/>
  <c r="M655" i="11"/>
  <c r="M656" i="11"/>
  <c r="M657" i="11"/>
  <c r="M658" i="11"/>
  <c r="M659" i="11"/>
  <c r="M660" i="11"/>
  <c r="M661" i="11"/>
  <c r="M662" i="11"/>
  <c r="M663" i="11"/>
  <c r="M664" i="11"/>
  <c r="M665" i="11"/>
  <c r="M666" i="11"/>
  <c r="M667" i="11"/>
  <c r="M668" i="11"/>
  <c r="M669" i="11"/>
  <c r="M670" i="11"/>
  <c r="M671" i="11"/>
  <c r="M672" i="11"/>
  <c r="M673" i="11"/>
  <c r="M674" i="11"/>
  <c r="M675" i="11"/>
  <c r="M676" i="11"/>
  <c r="M677" i="11"/>
  <c r="M678" i="11"/>
  <c r="M679" i="11"/>
  <c r="M680" i="11"/>
  <c r="M681" i="11"/>
  <c r="M682" i="11"/>
  <c r="M683" i="11"/>
  <c r="M684" i="11"/>
  <c r="M685" i="11"/>
  <c r="M686" i="11"/>
  <c r="M687" i="11"/>
  <c r="M688" i="11"/>
  <c r="M689" i="11"/>
  <c r="M690" i="11"/>
  <c r="M691" i="11"/>
  <c r="M692" i="11"/>
  <c r="M693" i="11"/>
  <c r="M694" i="11"/>
  <c r="M695" i="11"/>
  <c r="M696" i="11"/>
  <c r="M697" i="11"/>
  <c r="M698" i="11"/>
  <c r="M699" i="11"/>
  <c r="M700" i="11"/>
  <c r="M701" i="11"/>
  <c r="M702" i="11"/>
  <c r="M703" i="11"/>
  <c r="M704" i="11"/>
  <c r="M705" i="11"/>
  <c r="M706" i="11"/>
  <c r="M707" i="11"/>
  <c r="M708" i="11"/>
  <c r="M709" i="11"/>
  <c r="M710" i="11"/>
  <c r="M711" i="11"/>
  <c r="M712" i="11"/>
  <c r="M713" i="11"/>
  <c r="M714" i="11"/>
  <c r="M715" i="11"/>
  <c r="M716" i="11"/>
  <c r="M717" i="11"/>
  <c r="M718" i="11"/>
  <c r="M719" i="11"/>
  <c r="M720" i="11"/>
  <c r="M721" i="11"/>
  <c r="M722" i="11"/>
  <c r="M723" i="11"/>
  <c r="M724" i="11"/>
  <c r="M725" i="11"/>
  <c r="M726" i="11"/>
  <c r="M727" i="11"/>
  <c r="M728" i="11"/>
  <c r="M729" i="11"/>
  <c r="M730" i="11"/>
  <c r="M731" i="11"/>
  <c r="M732" i="11"/>
  <c r="M733" i="11"/>
  <c r="M734" i="11"/>
  <c r="M735" i="11"/>
  <c r="M736" i="11"/>
  <c r="M737" i="11"/>
  <c r="M738" i="11"/>
  <c r="M739" i="11"/>
  <c r="M740" i="11"/>
  <c r="M741" i="11"/>
  <c r="M742" i="11"/>
  <c r="M743" i="11"/>
  <c r="M744" i="11"/>
  <c r="M745" i="11"/>
  <c r="M746" i="11"/>
  <c r="M747" i="11"/>
  <c r="M748" i="11"/>
  <c r="M749" i="11"/>
  <c r="M750" i="11"/>
  <c r="M751" i="11"/>
  <c r="M752" i="11"/>
  <c r="M753" i="11"/>
  <c r="M754" i="11"/>
  <c r="M755" i="11"/>
  <c r="M756" i="11"/>
  <c r="M757" i="11"/>
  <c r="M758" i="11"/>
  <c r="M759" i="11"/>
  <c r="M760" i="11"/>
  <c r="M761" i="11"/>
  <c r="M762" i="11"/>
  <c r="M763" i="11"/>
  <c r="M764" i="11"/>
  <c r="M765" i="11"/>
  <c r="M766" i="11"/>
  <c r="M767" i="11"/>
  <c r="M768" i="11"/>
  <c r="M769" i="11"/>
  <c r="M770" i="11"/>
  <c r="M771" i="11"/>
  <c r="M772" i="11"/>
  <c r="M773" i="11"/>
  <c r="M774" i="11"/>
  <c r="M775" i="11"/>
  <c r="M776" i="11"/>
  <c r="M777" i="11"/>
  <c r="M778" i="11"/>
  <c r="M779" i="11"/>
  <c r="M780" i="11"/>
  <c r="M781" i="11"/>
  <c r="M782" i="11"/>
  <c r="M783" i="11"/>
  <c r="M784" i="11"/>
  <c r="M785" i="11"/>
  <c r="M786" i="11"/>
  <c r="M787" i="11"/>
  <c r="M788" i="11"/>
  <c r="M789" i="11"/>
  <c r="M790" i="11"/>
  <c r="M791" i="11"/>
  <c r="M792" i="11"/>
  <c r="M793" i="11"/>
  <c r="M794" i="11"/>
  <c r="M795" i="11"/>
  <c r="M796" i="11"/>
  <c r="M797" i="11"/>
  <c r="M798" i="11"/>
  <c r="M799" i="11"/>
  <c r="M800" i="11"/>
  <c r="M801" i="11"/>
  <c r="M802" i="11"/>
  <c r="M803" i="11"/>
  <c r="M804" i="11"/>
  <c r="M805" i="11"/>
  <c r="M806" i="11"/>
  <c r="M807" i="11"/>
  <c r="M808" i="11"/>
  <c r="M809" i="11"/>
  <c r="M810" i="11"/>
  <c r="M811" i="11"/>
  <c r="M812" i="11"/>
  <c r="M813" i="11"/>
  <c r="M814" i="11"/>
  <c r="M815" i="11"/>
  <c r="M816" i="11"/>
  <c r="M817" i="11"/>
  <c r="M818" i="11"/>
  <c r="M819" i="11"/>
  <c r="M820" i="11"/>
  <c r="M821" i="11"/>
  <c r="M822" i="11"/>
  <c r="M823" i="11"/>
  <c r="M824" i="11"/>
  <c r="M825" i="11"/>
  <c r="M826" i="11"/>
  <c r="M827" i="11"/>
  <c r="M828" i="11"/>
  <c r="M829" i="11"/>
  <c r="M830" i="11"/>
  <c r="M831" i="11"/>
  <c r="M832" i="11"/>
  <c r="M833" i="11"/>
  <c r="M834" i="11"/>
  <c r="M835" i="11"/>
  <c r="M836" i="11"/>
  <c r="M837" i="11"/>
  <c r="M838" i="11"/>
  <c r="M839" i="11"/>
  <c r="M840" i="11"/>
  <c r="M841" i="11"/>
  <c r="M842" i="11"/>
  <c r="M843" i="11"/>
  <c r="M844" i="11"/>
  <c r="M845" i="11"/>
  <c r="M846" i="11"/>
  <c r="M847" i="11"/>
  <c r="M848" i="11"/>
  <c r="M849" i="11"/>
  <c r="M850" i="11"/>
  <c r="M851" i="11"/>
  <c r="M852" i="11"/>
  <c r="M853" i="11"/>
  <c r="M854" i="11"/>
  <c r="M855" i="11"/>
  <c r="M856" i="11"/>
  <c r="M857" i="11"/>
  <c r="M858" i="11"/>
  <c r="M859" i="11"/>
  <c r="M860" i="11"/>
  <c r="M861" i="11"/>
  <c r="M862" i="11"/>
  <c r="M863" i="11"/>
  <c r="M864" i="11"/>
  <c r="M865" i="11"/>
  <c r="M866" i="11"/>
  <c r="M867" i="11"/>
  <c r="M868" i="11"/>
  <c r="M869" i="11"/>
  <c r="M870" i="11"/>
  <c r="M871" i="11"/>
  <c r="M872" i="11"/>
  <c r="M873" i="11"/>
  <c r="M874" i="11"/>
  <c r="M875" i="11"/>
  <c r="M876" i="11"/>
  <c r="M877" i="11"/>
  <c r="M878" i="11"/>
  <c r="M879" i="11"/>
  <c r="M880" i="11"/>
  <c r="M881" i="11"/>
  <c r="M882" i="11"/>
  <c r="M883" i="11"/>
  <c r="M884" i="11"/>
  <c r="M885" i="11"/>
  <c r="M886" i="11"/>
  <c r="M887" i="11"/>
  <c r="M888" i="11"/>
  <c r="M889" i="11"/>
  <c r="M890" i="11"/>
  <c r="M891" i="11"/>
  <c r="M892" i="11"/>
  <c r="M893" i="11"/>
  <c r="M894" i="11"/>
  <c r="M895" i="11"/>
  <c r="M896" i="11"/>
  <c r="M897" i="11"/>
  <c r="M898" i="11"/>
  <c r="M899" i="11"/>
  <c r="M900" i="11"/>
  <c r="M901" i="11"/>
  <c r="M902" i="11"/>
  <c r="M903" i="11"/>
  <c r="M904" i="11"/>
  <c r="M905" i="11"/>
  <c r="M906" i="11"/>
  <c r="M907" i="11"/>
  <c r="M908" i="11"/>
  <c r="M909" i="11"/>
  <c r="M910" i="11"/>
  <c r="M911" i="11"/>
  <c r="M912" i="11"/>
  <c r="M913" i="11"/>
  <c r="M914" i="11"/>
  <c r="M915" i="11"/>
  <c r="M916" i="11"/>
  <c r="M917" i="11"/>
  <c r="M918" i="11"/>
  <c r="M919" i="11"/>
  <c r="M920" i="11"/>
  <c r="M921" i="11"/>
  <c r="M922" i="11"/>
  <c r="M923" i="11"/>
  <c r="M924" i="11"/>
  <c r="M925" i="11"/>
  <c r="M926" i="11"/>
  <c r="M927" i="11"/>
  <c r="M928" i="11"/>
  <c r="M929" i="11"/>
  <c r="M930" i="11"/>
  <c r="M931" i="11"/>
  <c r="M932" i="11"/>
  <c r="M933" i="11"/>
  <c r="M934" i="11"/>
  <c r="M935" i="11"/>
  <c r="M936" i="11"/>
  <c r="M937" i="11"/>
  <c r="M938" i="11"/>
  <c r="M939" i="11"/>
  <c r="M940" i="11"/>
  <c r="M941" i="11"/>
  <c r="M942" i="11"/>
  <c r="M943" i="11"/>
  <c r="M944" i="11"/>
  <c r="M945" i="11"/>
  <c r="M946" i="11"/>
  <c r="M947" i="11"/>
  <c r="M948" i="11"/>
  <c r="M949" i="11"/>
  <c r="M950" i="11"/>
  <c r="M951" i="11"/>
  <c r="M952" i="11"/>
  <c r="M953" i="11"/>
  <c r="M954" i="11"/>
  <c r="M955" i="11"/>
  <c r="M956" i="11"/>
  <c r="M957" i="11"/>
  <c r="M958" i="11"/>
  <c r="M959" i="11"/>
  <c r="M960" i="11"/>
  <c r="M961" i="11"/>
  <c r="M962" i="11"/>
  <c r="M963" i="11"/>
  <c r="M964" i="11"/>
  <c r="M965" i="11"/>
  <c r="M966" i="11"/>
  <c r="M967" i="11"/>
  <c r="M968" i="11"/>
  <c r="M969" i="11"/>
  <c r="M970" i="11"/>
  <c r="M971" i="11"/>
  <c r="M972" i="11"/>
  <c r="M973" i="11"/>
  <c r="M974" i="11"/>
  <c r="M975" i="11"/>
  <c r="M976" i="11"/>
  <c r="M977" i="11"/>
  <c r="M978" i="11"/>
  <c r="M979" i="11"/>
  <c r="M980" i="11"/>
  <c r="M981" i="11"/>
  <c r="M982" i="11"/>
  <c r="M983" i="11"/>
  <c r="M984" i="11"/>
  <c r="M985" i="11"/>
  <c r="M986" i="11"/>
  <c r="M987" i="11"/>
  <c r="M988" i="11"/>
  <c r="M989" i="11"/>
  <c r="M990" i="11"/>
  <c r="M991" i="11"/>
  <c r="M992" i="11"/>
  <c r="M993" i="11"/>
  <c r="M994" i="11"/>
  <c r="M995" i="11"/>
  <c r="M996" i="11"/>
  <c r="M997" i="11"/>
  <c r="M998" i="11"/>
  <c r="M999" i="11"/>
  <c r="M1000" i="11"/>
  <c r="M1001" i="11"/>
  <c r="M1002" i="11"/>
  <c r="M1003" i="11"/>
  <c r="M1004" i="11"/>
  <c r="M1005" i="11"/>
  <c r="M1006" i="11"/>
  <c r="M1007" i="11"/>
  <c r="M1008" i="11"/>
  <c r="M1009" i="11"/>
  <c r="M1010" i="11"/>
  <c r="M1011" i="11"/>
  <c r="M1012" i="11"/>
  <c r="M1013" i="11"/>
  <c r="M1014" i="11"/>
  <c r="M1015" i="11"/>
  <c r="M1016" i="11"/>
  <c r="M1017" i="11"/>
  <c r="M1018" i="11"/>
  <c r="M1019" i="11"/>
  <c r="M1020" i="11"/>
  <c r="M1021" i="11"/>
  <c r="M1022" i="11"/>
  <c r="M1023" i="11"/>
  <c r="M1024" i="11"/>
  <c r="M1025" i="11"/>
  <c r="M1026" i="11"/>
  <c r="M1027" i="11"/>
  <c r="M1028" i="11"/>
  <c r="M1029" i="11"/>
  <c r="M1030" i="11"/>
  <c r="M1031" i="11"/>
  <c r="M1032" i="11"/>
  <c r="M1033" i="11"/>
  <c r="M1034" i="11"/>
  <c r="M1035" i="11"/>
  <c r="M1036" i="11"/>
  <c r="M1037" i="11"/>
  <c r="M1038" i="11"/>
  <c r="M1039" i="11"/>
  <c r="M1040" i="11"/>
  <c r="M1041" i="11"/>
  <c r="M1042" i="11"/>
  <c r="M1043" i="11"/>
  <c r="M1044" i="11"/>
  <c r="M1045" i="11"/>
  <c r="M1046" i="11"/>
  <c r="M1047" i="11"/>
  <c r="M1048" i="11"/>
  <c r="M1049" i="11"/>
  <c r="M1050" i="11"/>
  <c r="M1051" i="11"/>
  <c r="M1052" i="11"/>
  <c r="M1053" i="11"/>
  <c r="M1054" i="11"/>
  <c r="M1055" i="11"/>
  <c r="M1056" i="11"/>
  <c r="M1057" i="11"/>
  <c r="M1058" i="11"/>
  <c r="M1059" i="11"/>
  <c r="M1060" i="11"/>
  <c r="M1061" i="11"/>
  <c r="M1062" i="11"/>
  <c r="M1063" i="11"/>
  <c r="M1064" i="11"/>
  <c r="M1065" i="11"/>
  <c r="M1066" i="11"/>
  <c r="M1067" i="11"/>
  <c r="M1068" i="11"/>
  <c r="M1069" i="11"/>
  <c r="M1070" i="11"/>
  <c r="M1071" i="11"/>
  <c r="M1072" i="11"/>
  <c r="M1073" i="11"/>
  <c r="M1074" i="11"/>
  <c r="M1075" i="11"/>
  <c r="M1076" i="11"/>
  <c r="M1077" i="11"/>
  <c r="M1078" i="11"/>
  <c r="M1079" i="11"/>
  <c r="M1080" i="11"/>
  <c r="M1081" i="11"/>
  <c r="M1082" i="11"/>
  <c r="M1083" i="11"/>
  <c r="M1084" i="11"/>
  <c r="M1085" i="11"/>
  <c r="M1086" i="11"/>
  <c r="M1087" i="11"/>
  <c r="M1088" i="11"/>
  <c r="M1089" i="11"/>
  <c r="M1090" i="11"/>
  <c r="M1091" i="11"/>
  <c r="M1092" i="11"/>
  <c r="M1093" i="11"/>
  <c r="M1094" i="11"/>
  <c r="M1095" i="11"/>
  <c r="M1096" i="11"/>
  <c r="M1097" i="11"/>
  <c r="M1098" i="11"/>
  <c r="M1099" i="11"/>
  <c r="M1100" i="11"/>
  <c r="M1101" i="11"/>
  <c r="M1102" i="11"/>
  <c r="M1103" i="11"/>
  <c r="M1104" i="11"/>
  <c r="M1105" i="11"/>
  <c r="M1106" i="11"/>
  <c r="M1107" i="11"/>
  <c r="M1108" i="11"/>
  <c r="M1109" i="11"/>
  <c r="M1110" i="11"/>
  <c r="M1111" i="11"/>
  <c r="M1112" i="11"/>
  <c r="M1113" i="11"/>
  <c r="M1114" i="11"/>
  <c r="M1115" i="11"/>
  <c r="M1116" i="11"/>
  <c r="M1117" i="11"/>
  <c r="M1118" i="11"/>
  <c r="M1119" i="11"/>
  <c r="M1120" i="11"/>
  <c r="M1121" i="11"/>
  <c r="M1122" i="11"/>
  <c r="M1123" i="11"/>
  <c r="M1124" i="11"/>
  <c r="M1125" i="11"/>
  <c r="M1126" i="11"/>
  <c r="M1127" i="11"/>
  <c r="M1128" i="11"/>
  <c r="M1129" i="11"/>
  <c r="M1130" i="11"/>
  <c r="M1131" i="11"/>
  <c r="M1132" i="11"/>
  <c r="M1133" i="11"/>
  <c r="M1134" i="11"/>
  <c r="M1135" i="11"/>
  <c r="M1136" i="11"/>
  <c r="M1137" i="11"/>
  <c r="M1138" i="11"/>
  <c r="M1139" i="11"/>
  <c r="M1140" i="11"/>
  <c r="M1141" i="11"/>
  <c r="M1142" i="11"/>
  <c r="M1143" i="11"/>
  <c r="M1144" i="11"/>
  <c r="M1145" i="11"/>
  <c r="M1146" i="11"/>
  <c r="M1147" i="11"/>
  <c r="M1148" i="11"/>
  <c r="M1149" i="11"/>
  <c r="M1150" i="11"/>
  <c r="M1151" i="11"/>
  <c r="M1152" i="11"/>
  <c r="M1153" i="11"/>
  <c r="M1154" i="11"/>
  <c r="M1155" i="11"/>
  <c r="M1156" i="11"/>
  <c r="M1157" i="11"/>
  <c r="M1158" i="11"/>
  <c r="M1159" i="11"/>
  <c r="M1160" i="11"/>
  <c r="M1161" i="11"/>
  <c r="M1162" i="11"/>
  <c r="M1163" i="11"/>
  <c r="M1164" i="11"/>
  <c r="M1165" i="11"/>
  <c r="M1166" i="11"/>
  <c r="M1167" i="11"/>
  <c r="M1168" i="11"/>
  <c r="M1169" i="11"/>
  <c r="M1170" i="11"/>
  <c r="M1171" i="11"/>
  <c r="M1172" i="11"/>
  <c r="M1173" i="11"/>
  <c r="M1174" i="11"/>
  <c r="M1175" i="11"/>
  <c r="M1176" i="11"/>
  <c r="M1177" i="11"/>
  <c r="M1178" i="11"/>
  <c r="M1179" i="11"/>
  <c r="M1180" i="11"/>
  <c r="M1181" i="11"/>
  <c r="M1182" i="11"/>
  <c r="M1183" i="11"/>
  <c r="M1184" i="11"/>
  <c r="M1185" i="11"/>
  <c r="M1186" i="11"/>
  <c r="M1187" i="11"/>
  <c r="M1188" i="11"/>
  <c r="M1189" i="11"/>
  <c r="M1190" i="11"/>
  <c r="M1191" i="11"/>
  <c r="M1192" i="11"/>
  <c r="M1193" i="11"/>
  <c r="M1194" i="11"/>
  <c r="M1195" i="11"/>
  <c r="M1196" i="11"/>
  <c r="M1197" i="11"/>
  <c r="M1198" i="11"/>
  <c r="M1199" i="11"/>
  <c r="M1200" i="11"/>
  <c r="M1201" i="11"/>
  <c r="L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349" i="11"/>
  <c r="L350" i="11"/>
  <c r="L351" i="11"/>
  <c r="L352" i="11"/>
  <c r="L353" i="11"/>
  <c r="L354" i="11"/>
  <c r="L355" i="11"/>
  <c r="L356" i="11"/>
  <c r="L357" i="11"/>
  <c r="L358" i="11"/>
  <c r="L359" i="11"/>
  <c r="L360" i="11"/>
  <c r="L361" i="11"/>
  <c r="L362" i="11"/>
  <c r="L363" i="11"/>
  <c r="L364" i="11"/>
  <c r="L365" i="11"/>
  <c r="L366" i="11"/>
  <c r="L367" i="11"/>
  <c r="L368" i="11"/>
  <c r="L369" i="11"/>
  <c r="L370" i="11"/>
  <c r="L371" i="11"/>
  <c r="L372" i="11"/>
  <c r="L373" i="11"/>
  <c r="L374" i="11"/>
  <c r="L375" i="11"/>
  <c r="L376" i="11"/>
  <c r="L377" i="11"/>
  <c r="L378" i="11"/>
  <c r="L379" i="11"/>
  <c r="L380" i="11"/>
  <c r="L381" i="11"/>
  <c r="L382" i="11"/>
  <c r="L383" i="11"/>
  <c r="L384" i="11"/>
  <c r="L385" i="11"/>
  <c r="L386" i="11"/>
  <c r="L387" i="11"/>
  <c r="L388" i="11"/>
  <c r="L389" i="11"/>
  <c r="L390" i="11"/>
  <c r="L391" i="11"/>
  <c r="L392" i="11"/>
  <c r="L393" i="11"/>
  <c r="L394" i="11"/>
  <c r="L395" i="11"/>
  <c r="L396" i="11"/>
  <c r="L397" i="11"/>
  <c r="L398" i="11"/>
  <c r="L399" i="11"/>
  <c r="L400" i="11"/>
  <c r="L401" i="11"/>
  <c r="L402" i="11"/>
  <c r="L403" i="11"/>
  <c r="L404" i="11"/>
  <c r="L405" i="11"/>
  <c r="L406" i="11"/>
  <c r="L407" i="11"/>
  <c r="L408" i="11"/>
  <c r="L409" i="11"/>
  <c r="L410" i="11"/>
  <c r="L411" i="11"/>
  <c r="L412" i="11"/>
  <c r="L413" i="11"/>
  <c r="L414" i="11"/>
  <c r="L415" i="11"/>
  <c r="L416" i="11"/>
  <c r="L417" i="11"/>
  <c r="L418" i="11"/>
  <c r="L419" i="11"/>
  <c r="L420" i="11"/>
  <c r="L421" i="11"/>
  <c r="L422" i="11"/>
  <c r="L423" i="11"/>
  <c r="L424" i="11"/>
  <c r="L425" i="11"/>
  <c r="L426" i="11"/>
  <c r="L427" i="11"/>
  <c r="L428" i="11"/>
  <c r="L429" i="11"/>
  <c r="L430" i="11"/>
  <c r="L431" i="11"/>
  <c r="L432" i="11"/>
  <c r="L433" i="11"/>
  <c r="L434" i="11"/>
  <c r="L435" i="11"/>
  <c r="L436" i="11"/>
  <c r="L437" i="11"/>
  <c r="L438" i="11"/>
  <c r="L439" i="11"/>
  <c r="L440" i="11"/>
  <c r="L441" i="11"/>
  <c r="L442" i="11"/>
  <c r="L443" i="11"/>
  <c r="L444" i="11"/>
  <c r="L445" i="11"/>
  <c r="L446" i="11"/>
  <c r="L447" i="11"/>
  <c r="L448" i="11"/>
  <c r="L449" i="11"/>
  <c r="L450" i="11"/>
  <c r="L451" i="11"/>
  <c r="L452" i="11"/>
  <c r="L453" i="11"/>
  <c r="L454" i="11"/>
  <c r="L455" i="11"/>
  <c r="L456" i="11"/>
  <c r="L457" i="11"/>
  <c r="L458" i="11"/>
  <c r="L459" i="11"/>
  <c r="L460" i="11"/>
  <c r="L461" i="11"/>
  <c r="L462" i="11"/>
  <c r="L463" i="11"/>
  <c r="L464" i="11"/>
  <c r="L465" i="11"/>
  <c r="L466" i="11"/>
  <c r="L467" i="11"/>
  <c r="L468" i="11"/>
  <c r="L469" i="11"/>
  <c r="L470" i="11"/>
  <c r="L471" i="11"/>
  <c r="L472" i="11"/>
  <c r="L473" i="11"/>
  <c r="L474" i="11"/>
  <c r="L475" i="11"/>
  <c r="L476" i="11"/>
  <c r="L477" i="11"/>
  <c r="L478" i="11"/>
  <c r="L479" i="11"/>
  <c r="L480" i="11"/>
  <c r="L481" i="11"/>
  <c r="L482" i="11"/>
  <c r="L483" i="11"/>
  <c r="L484" i="11"/>
  <c r="L485" i="11"/>
  <c r="L486" i="11"/>
  <c r="L487" i="11"/>
  <c r="L488" i="11"/>
  <c r="L489" i="11"/>
  <c r="L490" i="11"/>
  <c r="L491" i="11"/>
  <c r="L492" i="11"/>
  <c r="L493" i="11"/>
  <c r="L494" i="11"/>
  <c r="L495" i="11"/>
  <c r="L496" i="11"/>
  <c r="L497" i="11"/>
  <c r="L498" i="11"/>
  <c r="L499" i="11"/>
  <c r="L500" i="11"/>
  <c r="L501" i="11"/>
  <c r="L502" i="11"/>
  <c r="L503" i="11"/>
  <c r="L504" i="11"/>
  <c r="L505" i="11"/>
  <c r="L506" i="11"/>
  <c r="L507" i="11"/>
  <c r="L508" i="11"/>
  <c r="L509" i="11"/>
  <c r="L510" i="11"/>
  <c r="L511" i="11"/>
  <c r="L512" i="11"/>
  <c r="L513" i="11"/>
  <c r="L514" i="11"/>
  <c r="L515" i="11"/>
  <c r="L516" i="11"/>
  <c r="L517" i="11"/>
  <c r="L518" i="11"/>
  <c r="L519" i="11"/>
  <c r="L520" i="11"/>
  <c r="L521" i="11"/>
  <c r="L522" i="11"/>
  <c r="L523" i="11"/>
  <c r="L524" i="11"/>
  <c r="L525" i="11"/>
  <c r="L526" i="11"/>
  <c r="L527" i="11"/>
  <c r="L528" i="11"/>
  <c r="L529" i="11"/>
  <c r="L530" i="11"/>
  <c r="L531" i="11"/>
  <c r="L532" i="11"/>
  <c r="L533" i="11"/>
  <c r="L534" i="11"/>
  <c r="L535" i="11"/>
  <c r="L536" i="11"/>
  <c r="L537" i="11"/>
  <c r="L538" i="11"/>
  <c r="L539" i="11"/>
  <c r="L540" i="11"/>
  <c r="L541" i="11"/>
  <c r="L542" i="11"/>
  <c r="L543" i="11"/>
  <c r="L544" i="11"/>
  <c r="L545" i="11"/>
  <c r="L546" i="11"/>
  <c r="L547" i="11"/>
  <c r="L548" i="11"/>
  <c r="L549" i="11"/>
  <c r="L550" i="11"/>
  <c r="L551" i="11"/>
  <c r="L552" i="11"/>
  <c r="L553" i="11"/>
  <c r="L554" i="11"/>
  <c r="L555" i="11"/>
  <c r="L556" i="11"/>
  <c r="L557" i="11"/>
  <c r="L558" i="11"/>
  <c r="L559" i="11"/>
  <c r="L560" i="11"/>
  <c r="L561" i="11"/>
  <c r="L562" i="11"/>
  <c r="L563" i="11"/>
  <c r="L564" i="11"/>
  <c r="L565" i="11"/>
  <c r="L566" i="11"/>
  <c r="L567" i="11"/>
  <c r="L568" i="11"/>
  <c r="L569" i="11"/>
  <c r="L570" i="11"/>
  <c r="L571" i="11"/>
  <c r="L572" i="11"/>
  <c r="L573" i="11"/>
  <c r="L574" i="11"/>
  <c r="L575" i="11"/>
  <c r="L576" i="11"/>
  <c r="L577" i="11"/>
  <c r="L578" i="11"/>
  <c r="L579" i="11"/>
  <c r="L580" i="11"/>
  <c r="L581" i="11"/>
  <c r="L582" i="11"/>
  <c r="L583" i="11"/>
  <c r="L584" i="11"/>
  <c r="L585" i="11"/>
  <c r="L586" i="11"/>
  <c r="L587" i="11"/>
  <c r="L588" i="11"/>
  <c r="L589" i="11"/>
  <c r="L590" i="11"/>
  <c r="L591" i="11"/>
  <c r="L592" i="11"/>
  <c r="L593" i="11"/>
  <c r="L594" i="11"/>
  <c r="L595" i="11"/>
  <c r="L596" i="11"/>
  <c r="L597" i="11"/>
  <c r="L598" i="11"/>
  <c r="L599" i="11"/>
  <c r="L600" i="11"/>
  <c r="L601" i="11"/>
  <c r="L602" i="11"/>
  <c r="L603" i="11"/>
  <c r="L604" i="11"/>
  <c r="L605" i="11"/>
  <c r="L606" i="11"/>
  <c r="L607" i="11"/>
  <c r="L608" i="11"/>
  <c r="L609" i="11"/>
  <c r="L610" i="11"/>
  <c r="L611" i="11"/>
  <c r="L612" i="11"/>
  <c r="L613" i="11"/>
  <c r="L614" i="11"/>
  <c r="L615" i="11"/>
  <c r="L616" i="11"/>
  <c r="L617" i="11"/>
  <c r="L618" i="11"/>
  <c r="L619" i="11"/>
  <c r="L620" i="11"/>
  <c r="L621" i="11"/>
  <c r="L622" i="11"/>
  <c r="L623" i="11"/>
  <c r="L624" i="11"/>
  <c r="L625" i="11"/>
  <c r="L626" i="11"/>
  <c r="L627" i="11"/>
  <c r="L628" i="11"/>
  <c r="L629" i="11"/>
  <c r="L630" i="11"/>
  <c r="L631" i="11"/>
  <c r="L632" i="11"/>
  <c r="L633" i="11"/>
  <c r="L634" i="11"/>
  <c r="L635" i="11"/>
  <c r="L636" i="11"/>
  <c r="L637" i="11"/>
  <c r="L638" i="11"/>
  <c r="L639" i="11"/>
  <c r="L640" i="11"/>
  <c r="L641" i="11"/>
  <c r="L642" i="11"/>
  <c r="L643" i="11"/>
  <c r="L644" i="11"/>
  <c r="L645" i="11"/>
  <c r="L646" i="11"/>
  <c r="L647" i="11"/>
  <c r="L648" i="11"/>
  <c r="L649" i="11"/>
  <c r="L650" i="11"/>
  <c r="L651" i="11"/>
  <c r="L652" i="11"/>
  <c r="L653" i="11"/>
  <c r="L654" i="11"/>
  <c r="L655" i="11"/>
  <c r="L656" i="11"/>
  <c r="L657" i="11"/>
  <c r="L658" i="11"/>
  <c r="L659" i="11"/>
  <c r="L660" i="11"/>
  <c r="L661" i="11"/>
  <c r="L662" i="11"/>
  <c r="L663" i="11"/>
  <c r="L664" i="11"/>
  <c r="L665" i="11"/>
  <c r="L666" i="11"/>
  <c r="L667" i="11"/>
  <c r="L668" i="11"/>
  <c r="L669" i="11"/>
  <c r="L670" i="11"/>
  <c r="L671" i="11"/>
  <c r="L672" i="11"/>
  <c r="L673" i="11"/>
  <c r="L674" i="11"/>
  <c r="L675" i="11"/>
  <c r="L676" i="11"/>
  <c r="L677" i="11"/>
  <c r="L678" i="11"/>
  <c r="L679" i="11"/>
  <c r="L680" i="11"/>
  <c r="L681" i="11"/>
  <c r="L682" i="11"/>
  <c r="L683" i="11"/>
  <c r="L684" i="11"/>
  <c r="L685" i="11"/>
  <c r="L686" i="11"/>
  <c r="L687" i="11"/>
  <c r="L688" i="11"/>
  <c r="L689" i="11"/>
  <c r="L690" i="11"/>
  <c r="L691" i="11"/>
  <c r="L692" i="11"/>
  <c r="L693" i="11"/>
  <c r="L694" i="11"/>
  <c r="L695" i="11"/>
  <c r="L696" i="11"/>
  <c r="L697" i="11"/>
  <c r="L698" i="11"/>
  <c r="L699" i="11"/>
  <c r="L700" i="11"/>
  <c r="L701" i="11"/>
  <c r="L702" i="11"/>
  <c r="L703" i="11"/>
  <c r="L704" i="11"/>
  <c r="L705" i="11"/>
  <c r="L706" i="11"/>
  <c r="L707" i="11"/>
  <c r="L708" i="11"/>
  <c r="L709" i="11"/>
  <c r="L710" i="11"/>
  <c r="L711" i="11"/>
  <c r="L712" i="11"/>
  <c r="L713" i="11"/>
  <c r="L714" i="11"/>
  <c r="L715" i="11"/>
  <c r="L716" i="11"/>
  <c r="L717" i="11"/>
  <c r="L718" i="11"/>
  <c r="L719" i="11"/>
  <c r="L720" i="11"/>
  <c r="L721" i="11"/>
  <c r="L722" i="11"/>
  <c r="L723" i="11"/>
  <c r="L724" i="11"/>
  <c r="L725" i="11"/>
  <c r="L726" i="11"/>
  <c r="L727" i="11"/>
  <c r="L728" i="11"/>
  <c r="L729" i="11"/>
  <c r="L730" i="11"/>
  <c r="L731" i="11"/>
  <c r="L732" i="11"/>
  <c r="L733" i="11"/>
  <c r="L734" i="11"/>
  <c r="L735" i="11"/>
  <c r="L736" i="11"/>
  <c r="L737" i="11"/>
  <c r="L738" i="11"/>
  <c r="L739" i="11"/>
  <c r="L740" i="11"/>
  <c r="L741" i="11"/>
  <c r="L742" i="11"/>
  <c r="L743" i="11"/>
  <c r="L744" i="11"/>
  <c r="L745" i="11"/>
  <c r="L746" i="11"/>
  <c r="L747" i="11"/>
  <c r="L748" i="11"/>
  <c r="L749" i="11"/>
  <c r="L750" i="11"/>
  <c r="L751" i="11"/>
  <c r="L752" i="11"/>
  <c r="L753" i="11"/>
  <c r="L754" i="11"/>
  <c r="L755" i="11"/>
  <c r="L756" i="11"/>
  <c r="L757" i="11"/>
  <c r="L758" i="11"/>
  <c r="L759" i="11"/>
  <c r="L760" i="11"/>
  <c r="L761" i="11"/>
  <c r="L762" i="11"/>
  <c r="L763" i="11"/>
  <c r="L764" i="11"/>
  <c r="L765" i="11"/>
  <c r="L766" i="11"/>
  <c r="L767" i="11"/>
  <c r="L768" i="11"/>
  <c r="L769" i="11"/>
  <c r="L770" i="11"/>
  <c r="L771" i="11"/>
  <c r="L772" i="11"/>
  <c r="L773" i="11"/>
  <c r="L774" i="11"/>
  <c r="L775" i="11"/>
  <c r="L776" i="11"/>
  <c r="L777" i="11"/>
  <c r="L778" i="11"/>
  <c r="L779" i="11"/>
  <c r="L780" i="11"/>
  <c r="L781" i="11"/>
  <c r="L782" i="11"/>
  <c r="L783" i="11"/>
  <c r="L784" i="11"/>
  <c r="L785" i="11"/>
  <c r="L786" i="11"/>
  <c r="L787" i="11"/>
  <c r="L788" i="11"/>
  <c r="L789" i="11"/>
  <c r="L790" i="11"/>
  <c r="L791" i="11"/>
  <c r="L792" i="11"/>
  <c r="L793" i="11"/>
  <c r="L794" i="11"/>
  <c r="L795" i="11"/>
  <c r="L796" i="11"/>
  <c r="L797" i="11"/>
  <c r="L798" i="11"/>
  <c r="L799" i="11"/>
  <c r="L800" i="11"/>
  <c r="L801" i="11"/>
  <c r="L802" i="11"/>
  <c r="L803" i="11"/>
  <c r="L804" i="11"/>
  <c r="L805" i="11"/>
  <c r="L806" i="11"/>
  <c r="L807" i="11"/>
  <c r="L808" i="11"/>
  <c r="L809" i="11"/>
  <c r="L810" i="11"/>
  <c r="L811" i="11"/>
  <c r="L812" i="11"/>
  <c r="L813" i="11"/>
  <c r="L814" i="11"/>
  <c r="L815" i="11"/>
  <c r="L816" i="11"/>
  <c r="L817" i="11"/>
  <c r="L818" i="11"/>
  <c r="L819" i="11"/>
  <c r="L820" i="11"/>
  <c r="L821" i="11"/>
  <c r="L822" i="11"/>
  <c r="L823" i="11"/>
  <c r="L824" i="11"/>
  <c r="L825" i="11"/>
  <c r="L826" i="11"/>
  <c r="L827" i="11"/>
  <c r="L828" i="11"/>
  <c r="L829" i="11"/>
  <c r="L830" i="11"/>
  <c r="L831" i="11"/>
  <c r="L832" i="11"/>
  <c r="L833" i="11"/>
  <c r="L834" i="11"/>
  <c r="L835" i="11"/>
  <c r="L836" i="11"/>
  <c r="L837" i="11"/>
  <c r="L838" i="11"/>
  <c r="L839" i="11"/>
  <c r="L840" i="11"/>
  <c r="L841" i="11"/>
  <c r="L842" i="11"/>
  <c r="L843" i="11"/>
  <c r="L844" i="11"/>
  <c r="L845" i="11"/>
  <c r="L846" i="11"/>
  <c r="L847" i="11"/>
  <c r="L848" i="11"/>
  <c r="L849" i="11"/>
  <c r="L850" i="11"/>
  <c r="L851" i="11"/>
  <c r="L852" i="11"/>
  <c r="L853" i="11"/>
  <c r="L854" i="11"/>
  <c r="L855" i="11"/>
  <c r="L856" i="11"/>
  <c r="L857" i="11"/>
  <c r="L858" i="11"/>
  <c r="L859" i="11"/>
  <c r="L860" i="11"/>
  <c r="L861" i="11"/>
  <c r="L862" i="11"/>
  <c r="L863" i="11"/>
  <c r="L864" i="11"/>
  <c r="L865" i="11"/>
  <c r="L866" i="11"/>
  <c r="L867" i="11"/>
  <c r="L868" i="11"/>
  <c r="L869" i="11"/>
  <c r="L870" i="11"/>
  <c r="L871" i="11"/>
  <c r="L872" i="11"/>
  <c r="L873" i="11"/>
  <c r="L874" i="11"/>
  <c r="L875" i="11"/>
  <c r="L876" i="11"/>
  <c r="L877" i="11"/>
  <c r="L878" i="11"/>
  <c r="L879" i="11"/>
  <c r="L880" i="11"/>
  <c r="L881" i="11"/>
  <c r="L882" i="11"/>
  <c r="L883" i="11"/>
  <c r="L884" i="11"/>
  <c r="L885" i="11"/>
  <c r="L886" i="11"/>
  <c r="L887" i="11"/>
  <c r="L888" i="11"/>
  <c r="L889" i="11"/>
  <c r="L890" i="11"/>
  <c r="L891" i="11"/>
  <c r="L892" i="11"/>
  <c r="L893" i="11"/>
  <c r="L894" i="11"/>
  <c r="L895" i="11"/>
  <c r="L896" i="11"/>
  <c r="L897" i="11"/>
  <c r="L898" i="11"/>
  <c r="L899" i="11"/>
  <c r="L900" i="11"/>
  <c r="L901" i="11"/>
  <c r="L902" i="11"/>
  <c r="L903" i="11"/>
  <c r="L904" i="11"/>
  <c r="L905" i="11"/>
  <c r="L906" i="11"/>
  <c r="L907" i="11"/>
  <c r="L908" i="11"/>
  <c r="L909" i="11"/>
  <c r="L910" i="11"/>
  <c r="L911" i="11"/>
  <c r="L912" i="11"/>
  <c r="L913" i="11"/>
  <c r="L914" i="11"/>
  <c r="L915" i="11"/>
  <c r="L916" i="11"/>
  <c r="L917" i="11"/>
  <c r="L918" i="11"/>
  <c r="L919" i="11"/>
  <c r="L920" i="11"/>
  <c r="L921" i="11"/>
  <c r="L922" i="11"/>
  <c r="L923" i="11"/>
  <c r="L924" i="11"/>
  <c r="L925" i="11"/>
  <c r="L926" i="11"/>
  <c r="L927" i="11"/>
  <c r="L928" i="11"/>
  <c r="L929" i="11"/>
  <c r="L930" i="11"/>
  <c r="L931" i="11"/>
  <c r="L932" i="11"/>
  <c r="L933" i="11"/>
  <c r="L934" i="11"/>
  <c r="L935" i="11"/>
  <c r="L936" i="11"/>
  <c r="L937" i="11"/>
  <c r="L938" i="11"/>
  <c r="L939" i="11"/>
  <c r="L940" i="11"/>
  <c r="L941" i="11"/>
  <c r="L942" i="11"/>
  <c r="L943" i="11"/>
  <c r="L944" i="11"/>
  <c r="L945" i="11"/>
  <c r="L946" i="11"/>
  <c r="L947" i="11"/>
  <c r="L948" i="11"/>
  <c r="L949" i="11"/>
  <c r="L950" i="11"/>
  <c r="L951" i="11"/>
  <c r="L952" i="11"/>
  <c r="L953" i="11"/>
  <c r="L954" i="11"/>
  <c r="L955" i="11"/>
  <c r="L956" i="11"/>
  <c r="L957" i="11"/>
  <c r="L958" i="11"/>
  <c r="L959" i="11"/>
  <c r="L960" i="11"/>
  <c r="L961" i="11"/>
  <c r="L962" i="11"/>
  <c r="L963" i="11"/>
  <c r="L964" i="11"/>
  <c r="L965" i="11"/>
  <c r="L966" i="11"/>
  <c r="L967" i="11"/>
  <c r="L968" i="11"/>
  <c r="L969" i="11"/>
  <c r="L970" i="11"/>
  <c r="L971" i="11"/>
  <c r="L972" i="11"/>
  <c r="L973" i="11"/>
  <c r="L974" i="11"/>
  <c r="L975" i="11"/>
  <c r="L976" i="11"/>
  <c r="L977" i="11"/>
  <c r="L978" i="11"/>
  <c r="L979" i="11"/>
  <c r="L980" i="11"/>
  <c r="L981" i="11"/>
  <c r="L982" i="11"/>
  <c r="L983" i="11"/>
  <c r="L984" i="11"/>
  <c r="L985" i="11"/>
  <c r="L986" i="11"/>
  <c r="L987" i="11"/>
  <c r="L988" i="11"/>
  <c r="L989" i="11"/>
  <c r="L990" i="11"/>
  <c r="L991" i="11"/>
  <c r="L992" i="11"/>
  <c r="L993" i="11"/>
  <c r="L994" i="11"/>
  <c r="L995" i="11"/>
  <c r="L996" i="11"/>
  <c r="L997" i="11"/>
  <c r="L998" i="11"/>
  <c r="L999" i="11"/>
  <c r="L1000" i="11"/>
  <c r="L1001" i="11"/>
  <c r="L1002" i="11"/>
  <c r="L1003" i="11"/>
  <c r="L1004" i="11"/>
  <c r="L1005" i="11"/>
  <c r="L1006" i="11"/>
  <c r="L1007" i="11"/>
  <c r="L1008" i="11"/>
  <c r="L1009" i="11"/>
  <c r="L1010" i="11"/>
  <c r="L1011" i="11"/>
  <c r="L1012" i="11"/>
  <c r="L1013" i="11"/>
  <c r="L1014" i="11"/>
  <c r="L1015" i="11"/>
  <c r="L1016" i="11"/>
  <c r="L1017" i="11"/>
  <c r="L1018" i="11"/>
  <c r="L1019" i="11"/>
  <c r="L1020" i="11"/>
  <c r="L1021" i="11"/>
  <c r="L1022" i="11"/>
  <c r="L1023" i="11"/>
  <c r="L1024" i="11"/>
  <c r="L1025" i="11"/>
  <c r="L1026" i="11"/>
  <c r="L1027" i="11"/>
  <c r="L1028" i="11"/>
  <c r="L1029" i="11"/>
  <c r="L1030" i="11"/>
  <c r="L1031" i="11"/>
  <c r="L1032" i="11"/>
  <c r="L1033" i="11"/>
  <c r="L1034" i="11"/>
  <c r="L1035" i="11"/>
  <c r="L1036" i="11"/>
  <c r="L1037" i="11"/>
  <c r="L1038" i="11"/>
  <c r="L1039" i="11"/>
  <c r="L1040" i="11"/>
  <c r="L1041" i="11"/>
  <c r="L1042" i="11"/>
  <c r="L1043" i="11"/>
  <c r="L1044" i="11"/>
  <c r="L1045" i="11"/>
  <c r="L1046" i="11"/>
  <c r="L1047" i="11"/>
  <c r="L1048" i="11"/>
  <c r="L1049" i="11"/>
  <c r="L1050" i="11"/>
  <c r="L1051" i="11"/>
  <c r="L1052" i="11"/>
  <c r="L1053" i="11"/>
  <c r="L1054" i="11"/>
  <c r="L1055" i="11"/>
  <c r="L1056" i="11"/>
  <c r="L1057" i="11"/>
  <c r="L1058" i="11"/>
  <c r="L1059" i="11"/>
  <c r="L1060" i="11"/>
  <c r="L1061" i="11"/>
  <c r="L1062" i="11"/>
  <c r="L1063" i="11"/>
  <c r="L1064" i="11"/>
  <c r="L1065" i="11"/>
  <c r="L1066" i="11"/>
  <c r="L1067" i="11"/>
  <c r="L1068" i="11"/>
  <c r="L1069" i="11"/>
  <c r="L1070" i="11"/>
  <c r="L1071" i="11"/>
  <c r="L1072" i="11"/>
  <c r="L1073" i="11"/>
  <c r="L1074" i="11"/>
  <c r="L1075" i="11"/>
  <c r="L1076" i="11"/>
  <c r="L1077" i="11"/>
  <c r="L1078" i="11"/>
  <c r="L1079" i="11"/>
  <c r="L1080" i="11"/>
  <c r="L1081" i="11"/>
  <c r="L1082" i="11"/>
  <c r="L1083" i="11"/>
  <c r="L1084" i="11"/>
  <c r="L1085" i="11"/>
  <c r="L1086" i="11"/>
  <c r="L1087" i="11"/>
  <c r="L1088" i="11"/>
  <c r="L1089" i="11"/>
  <c r="L1090" i="11"/>
  <c r="L1091" i="11"/>
  <c r="L1092" i="11"/>
  <c r="L1093" i="11"/>
  <c r="L1094" i="11"/>
  <c r="L1095" i="11"/>
  <c r="L1096" i="11"/>
  <c r="L1097" i="11"/>
  <c r="L1098" i="11"/>
  <c r="L1099" i="11"/>
  <c r="L1100" i="11"/>
  <c r="L1101" i="11"/>
  <c r="L1102" i="11"/>
  <c r="L1103" i="11"/>
  <c r="L1104" i="11"/>
  <c r="L1105" i="11"/>
  <c r="L1106" i="11"/>
  <c r="L1107" i="11"/>
  <c r="L1108" i="11"/>
  <c r="L1109" i="11"/>
  <c r="L1110" i="11"/>
  <c r="L1111" i="11"/>
  <c r="L1112" i="11"/>
  <c r="L1113" i="11"/>
  <c r="L1114" i="11"/>
  <c r="L1115" i="11"/>
  <c r="L1116" i="11"/>
  <c r="L1117" i="11"/>
  <c r="L1118" i="11"/>
  <c r="L1119" i="11"/>
  <c r="L1120" i="11"/>
  <c r="L1121" i="11"/>
  <c r="L1122" i="11"/>
  <c r="L1123" i="11"/>
  <c r="L1124" i="11"/>
  <c r="L1125" i="11"/>
  <c r="L1126" i="11"/>
  <c r="L1127" i="11"/>
  <c r="L1128" i="11"/>
  <c r="L1129" i="11"/>
  <c r="L1130" i="11"/>
  <c r="L1131" i="11"/>
  <c r="L1132" i="11"/>
  <c r="L1133" i="11"/>
  <c r="L1134" i="11"/>
  <c r="L1135" i="11"/>
  <c r="L1136" i="11"/>
  <c r="L1137" i="11"/>
  <c r="L1138" i="11"/>
  <c r="L1139" i="11"/>
  <c r="L1140" i="11"/>
  <c r="L1141" i="11"/>
  <c r="L1142" i="11"/>
  <c r="L1143" i="11"/>
  <c r="L1144" i="11"/>
  <c r="L1145" i="11"/>
  <c r="L1146" i="11"/>
  <c r="L1147" i="11"/>
  <c r="L1148" i="11"/>
  <c r="L1149" i="11"/>
  <c r="L1150" i="11"/>
  <c r="L1151" i="11"/>
  <c r="L1152" i="11"/>
  <c r="L1153" i="11"/>
  <c r="L1154" i="11"/>
  <c r="L1155" i="11"/>
  <c r="L1156" i="11"/>
  <c r="L1157" i="11"/>
  <c r="L1158" i="11"/>
  <c r="L1159" i="11"/>
  <c r="L1160" i="11"/>
  <c r="L1161" i="11"/>
  <c r="L1162" i="11"/>
  <c r="L1163" i="11"/>
  <c r="L1164" i="11"/>
  <c r="L1165" i="11"/>
  <c r="L1166" i="11"/>
  <c r="L1167" i="11"/>
  <c r="L1168" i="11"/>
  <c r="L1169" i="11"/>
  <c r="L1170" i="11"/>
  <c r="L1171" i="11"/>
  <c r="L1172" i="11"/>
  <c r="L1173" i="11"/>
  <c r="L1174" i="11"/>
  <c r="L1175" i="11"/>
  <c r="L1176" i="11"/>
  <c r="L1177" i="11"/>
  <c r="L1178" i="11"/>
  <c r="L1179" i="11"/>
  <c r="L1180" i="11"/>
  <c r="L1181" i="11"/>
  <c r="L1182" i="11"/>
  <c r="L1183" i="11"/>
  <c r="L1184" i="11"/>
  <c r="L1185" i="11"/>
  <c r="L1186" i="11"/>
  <c r="L1187" i="11"/>
  <c r="L1188" i="11"/>
  <c r="L1189" i="11"/>
  <c r="L1190" i="11"/>
  <c r="L1191" i="11"/>
  <c r="L1192" i="11"/>
  <c r="L1193" i="11"/>
  <c r="L1194" i="11"/>
  <c r="L1195" i="11"/>
  <c r="L1196" i="11"/>
  <c r="L1197" i="11"/>
  <c r="L1198" i="11"/>
  <c r="L1199" i="11"/>
  <c r="L1200" i="11"/>
  <c r="L1201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59F8F2-D9CD-4A60-A2C5-CCA88AD2E3CD}" keepAlive="1" name="Query - Full_Inventory_Data" description="Connection to the 'Full_Inventory_Data' query in the workbook." type="5" refreshedVersion="0" background="1" saveData="1">
    <dbPr connection="Provider=Microsoft.Mashup.OleDb.1;Data Source=$Workbook$;Location=Full_Inventory_Data;Extended Properties=&quot;&quot;" command="SELECT * FROM [Full_Inventory_Data]"/>
  </connection>
</connections>
</file>

<file path=xl/sharedStrings.xml><?xml version="1.0" encoding="utf-8"?>
<sst xmlns="http://schemas.openxmlformats.org/spreadsheetml/2006/main" count="5118" uniqueCount="176">
  <si>
    <t>City Multiplier</t>
  </si>
  <si>
    <t>City</t>
  </si>
  <si>
    <t>Cost of Living Index</t>
  </si>
  <si>
    <t>Price Multiplier</t>
  </si>
  <si>
    <t>Cost Multiplier</t>
  </si>
  <si>
    <t>San Francisco</t>
  </si>
  <si>
    <t>Los Angeles</t>
  </si>
  <si>
    <t>San Diego</t>
  </si>
  <si>
    <t>Sacramento</t>
  </si>
  <si>
    <t>Fresno</t>
  </si>
  <si>
    <t>Bakersfield</t>
  </si>
  <si>
    <t>San Jose</t>
  </si>
  <si>
    <t>Long Beach</t>
  </si>
  <si>
    <t>Oakland</t>
  </si>
  <si>
    <t>Anaheim</t>
  </si>
  <si>
    <t>Price Multiplier Range</t>
  </si>
  <si>
    <t>Low (%)</t>
  </si>
  <si>
    <t>High (%)</t>
  </si>
  <si>
    <t>PRODUCE</t>
  </si>
  <si>
    <t>UNITS</t>
  </si>
  <si>
    <t>PRICE</t>
  </si>
  <si>
    <t>COST</t>
  </si>
  <si>
    <t>MEAT</t>
  </si>
  <si>
    <t>DELI</t>
  </si>
  <si>
    <t>FROZEN FOODS</t>
  </si>
  <si>
    <t>UNIT</t>
  </si>
  <si>
    <t>BAKERY</t>
  </si>
  <si>
    <t>DAIRY</t>
  </si>
  <si>
    <t>Bananas</t>
  </si>
  <si>
    <t>lb</t>
  </si>
  <si>
    <t>Ground Beef (80/20)</t>
  </si>
  <si>
    <t>Sliced Turkey Breast</t>
  </si>
  <si>
    <t>Frozen Pizza (12”)</t>
  </si>
  <si>
    <t>each</t>
  </si>
  <si>
    <t>White Sandwich Bread (loaf)</t>
  </si>
  <si>
    <t>Whole Milk (1 gallon)</t>
  </si>
  <si>
    <t>Apples (Gala)</t>
  </si>
  <si>
    <t>Ground Turkey</t>
  </si>
  <si>
    <t>Sliced Ham (Honey or Black Forest)</t>
  </si>
  <si>
    <t>Frozen Mixed Vegetables (16 oz)</t>
  </si>
  <si>
    <t>Whole Wheat Bread (loaf)</t>
  </si>
  <si>
    <t>2% Milk (1 gallon)</t>
  </si>
  <si>
    <t>Oranges (Navel)</t>
  </si>
  <si>
    <t>Boneless Skinless Chicken Breast</t>
  </si>
  <si>
    <t>Roast Beef (sliced)</t>
  </si>
  <si>
    <t>Frozen French Fries (32 oz)</t>
  </si>
  <si>
    <t>French Baguette</t>
  </si>
  <si>
    <t>Skim Milk (1 gallon)</t>
  </si>
  <si>
    <t>Lemons</t>
  </si>
  <si>
    <t>Chicken Thighs (bone-in)</t>
  </si>
  <si>
    <t>Genoa Salami</t>
  </si>
  <si>
    <t>Frozen Broccoli Florets (16 oz)</t>
  </si>
  <si>
    <t>Italian Bread (loaf)</t>
  </si>
  <si>
    <t>Organic Milk (1/2 gallon)</t>
  </si>
  <si>
    <t>Limes</t>
  </si>
  <si>
    <t>Whole Chicken</t>
  </si>
  <si>
    <t>Hard Salami</t>
  </si>
  <si>
    <t>Frozen Corn (16 oz)</t>
  </si>
  <si>
    <t>Dinner Rolls (12-pack)</t>
  </si>
  <si>
    <t>Heavy Whipping Cream (pint)</t>
  </si>
  <si>
    <t>Avocados (Hass)</t>
  </si>
  <si>
    <t>Pork Chops (bone-in)</t>
  </si>
  <si>
    <t>Pepperoni (sliced)</t>
  </si>
  <si>
    <t>Ice Cream (1.5 qt)</t>
  </si>
  <si>
    <t>Kaiser Rolls (6-pack)</t>
  </si>
  <si>
    <t>Half &amp; Half (quart)</t>
  </si>
  <si>
    <t>Tomatoes (Roma)</t>
  </si>
  <si>
    <t>Pork Shoulder (Boston Butt)</t>
  </si>
  <si>
    <t>Chicken Breast (sliced)</t>
  </si>
  <si>
    <t>Ice Cream Sandwiches (box of 6)</t>
  </si>
  <si>
    <t>Hamburger Buns (8-pack)</t>
  </si>
  <si>
    <t>Buttermilk (quart)</t>
  </si>
  <si>
    <t>Potatoes (Russet)</t>
  </si>
  <si>
    <t>Bacon (Regular Cut)</t>
  </si>
  <si>
    <t>Bologna</t>
  </si>
  <si>
    <t>Frozen Chicken Nuggets (32 oz)</t>
  </si>
  <si>
    <t>Hot Dog Buns (8-pack)</t>
  </si>
  <si>
    <t>Butter (salted, 1 lb)</t>
  </si>
  <si>
    <t>Onions (Yellow)</t>
  </si>
  <si>
    <t>Breakfast Sausage (bulk)</t>
  </si>
  <si>
    <t>Mortadella</t>
  </si>
  <si>
    <t>Frozen Burritos (individual)</t>
  </si>
  <si>
    <t>English Muffins (6-pack)</t>
  </si>
  <si>
    <t>Margarine (1 lb)</t>
  </si>
  <si>
    <t>Carrots</t>
  </si>
  <si>
    <t>Italian Sausage (links)</t>
  </si>
  <si>
    <t>Prosciutto</t>
  </si>
  <si>
    <t>Frozen Meatballs (26 oz bag)</t>
  </si>
  <si>
    <t>Bagels (6-pack)</t>
  </si>
  <si>
    <t>Sour Cream (16 oz)</t>
  </si>
  <si>
    <t>Broccoli</t>
  </si>
  <si>
    <t>Beef Chuck Roast</t>
  </si>
  <si>
    <t>American Cheese (processed)</t>
  </si>
  <si>
    <t>Frozen Waffles (box of 10)</t>
  </si>
  <si>
    <t>Croissants (4-pack)</t>
  </si>
  <si>
    <t>Cottage Cheese (16 oz)</t>
  </si>
  <si>
    <t>Lettuce (Romaine)</t>
  </si>
  <si>
    <t>Beef Ribeye Steak (Boneless)</t>
  </si>
  <si>
    <t>Cheddar Cheese (sharp)</t>
  </si>
  <si>
    <t>Frozen Pancakes (box of 12)</t>
  </si>
  <si>
    <t>Muffins (4-pack, assorted)</t>
  </si>
  <si>
    <t>Greek Yogurt (single 5.3 oz cup)</t>
  </si>
  <si>
    <t>Spinach (bagged)</t>
  </si>
  <si>
    <t>New York Strip Steak</t>
  </si>
  <si>
    <t>Swiss Cheese</t>
  </si>
  <si>
    <t>TV Dinner / Meal (10–12 oz)</t>
  </si>
  <si>
    <t>Donuts (6-pack, glazed)</t>
  </si>
  <si>
    <t>Yogurt (regular, 6 oz)</t>
  </si>
  <si>
    <t>Bell Peppers (Green)</t>
  </si>
  <si>
    <t>Chicken Wings</t>
  </si>
  <si>
    <t>Provolone Cheese</t>
  </si>
  <si>
    <t>Frozen Fish Fillets (breaded, 24 oz)</t>
  </si>
  <si>
    <t>Danish Pastries (4-pack)</t>
  </si>
  <si>
    <t>Cream Cheese (8 oz block)</t>
  </si>
  <si>
    <t>Cucumbers</t>
  </si>
  <si>
    <t>Lamb Chops</t>
  </si>
  <si>
    <t>Mozzarella (fresh, sliced)</t>
  </si>
  <si>
    <t>Frozen Shrimp (raw, peeled, 1 lb)</t>
  </si>
  <si>
    <t>Apple Pie (9”)</t>
  </si>
  <si>
    <t>Shredded Cheese (8 oz bag)</t>
  </si>
  <si>
    <t>Grapes (Red Seedless)</t>
  </si>
  <si>
    <t>Turkey (whole, frozen)</t>
  </si>
  <si>
    <t>Coleslaw (prepared)</t>
  </si>
  <si>
    <t>Frozen Fruit (Strawberries, 16 oz)</t>
  </si>
  <si>
    <t>Pumpkin Pie (9”)</t>
  </si>
  <si>
    <t>Sliced Cheese (8 oz)</t>
  </si>
  <si>
    <t>Strawberries (1 lb)</t>
  </si>
  <si>
    <t>Ham (bone-in, smoked)</t>
  </si>
  <si>
    <t>Potato Salad (prepared)</t>
  </si>
  <si>
    <t>Frozen Pie (apple, 8”)</t>
  </si>
  <si>
    <t>Chocolate Cake (single layer)</t>
  </si>
  <si>
    <t>Cheddar Cheese Block (1 lb)</t>
  </si>
  <si>
    <t>Blueberries</t>
  </si>
  <si>
    <t>Deli Turkey Breast (sliced)</t>
  </si>
  <si>
    <t>Macaroni Salad</t>
  </si>
  <si>
    <t>Frozen Garlic Bread (16 oz)</t>
  </si>
  <si>
    <t>Cupcakes (6-pack)</t>
  </si>
  <si>
    <t>Mozzarella (low moisture, 1 lb)</t>
  </si>
  <si>
    <t>Pineapple</t>
  </si>
  <si>
    <t>Hot Dogs (beef, standard pack)</t>
  </si>
  <si>
    <t>Rotisserie Chicken (whole)</t>
  </si>
  <si>
    <t>Frozen Breakfast Sandwich (2-pack)</t>
  </si>
  <si>
    <t>Brownies (6-pack)</t>
  </si>
  <si>
    <t>Eggs (dozen, large, Grade A)</t>
  </si>
  <si>
    <t>Watermelon (whole)</t>
  </si>
  <si>
    <t>Meatballs (pre-cooked)</t>
  </si>
  <si>
    <t>Deli Sandwich (made to order)</t>
  </si>
  <si>
    <t>Frozen Veggie Burgers (4-pack)</t>
  </si>
  <si>
    <t>Coffee Cake (whole)</t>
  </si>
  <si>
    <t>Egg Substitute (16 oz carton)</t>
  </si>
  <si>
    <t>CITY</t>
  </si>
  <si>
    <t>DEPARTMENT</t>
  </si>
  <si>
    <t>ITEM</t>
  </si>
  <si>
    <t>BASE PRICE</t>
  </si>
  <si>
    <t>PRICE MULTIPLIER</t>
  </si>
  <si>
    <t>NEW PRICE</t>
  </si>
  <si>
    <t>STARTING INVENTORY</t>
  </si>
  <si>
    <t>LOST INVENTORY</t>
  </si>
  <si>
    <t>ENDING INVENTORY</t>
  </si>
  <si>
    <t>Percentage Sold</t>
  </si>
  <si>
    <t>Sold</t>
  </si>
  <si>
    <t>Produce</t>
  </si>
  <si>
    <t>Meat</t>
  </si>
  <si>
    <t>Frozen</t>
  </si>
  <si>
    <t>Deli</t>
  </si>
  <si>
    <t>Dairy</t>
  </si>
  <si>
    <t>Bakery</t>
  </si>
  <si>
    <t>Employees</t>
  </si>
  <si>
    <t>Former Employees</t>
  </si>
  <si>
    <t>First Name</t>
  </si>
  <si>
    <t>Last Name</t>
  </si>
  <si>
    <t>John</t>
  </si>
  <si>
    <t>Smith</t>
  </si>
  <si>
    <t>Jane</t>
  </si>
  <si>
    <t>Sum of Sold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</si>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</sst>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i/>
      <sz val="12"/>
      <color theme="1"/>
      <name val="Times New Roman"/>
      <family val="1"/>
    </font>
    <font>
      <sz val="16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44" fontId="0" fillId="0" borderId="0" xfId="0" applyNumberFormat="1"/>
    <xf numFmtId="44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2" fontId="1" fillId="0" borderId="0" xfId="0" applyNumberFormat="1" applyFont="1"/>
    <xf numFmtId="0" fontId="4" fillId="0" borderId="0" xfId="0" applyFont="1"/>
    <xf numFmtId="0" fontId="3" fillId="4" borderId="1" xfId="0" applyFont="1" applyFill="1" applyBorder="1"/>
    <xf numFmtId="0" fontId="1" fillId="5" borderId="1" xfId="0" applyFont="1" applyFill="1" applyBorder="1"/>
    <xf numFmtId="0" fontId="0" fillId="0" borderId="0" xfId="0" pivotButton="1"/>
    <xf numFmtId="9" fontId="0" fillId="0" borderId="0" xfId="0" applyNumberFormat="1"/>
    <xf numFmtId="0" fontId="3" fillId="2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41">
    <dxf>
      <numFmt numFmtId="0" formatCode="General"/>
    </dxf>
    <dxf>
      <numFmt numFmtId="13" formatCode="0%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[Lesson 5 - Supermarket Data.xlsx]Sheet1!PivotTable1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 Sales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Sheet1!$A$3:$A$13</c:f>
              <c:strCache>
                <c:ptCount val="10"/>
                <c:pt idx="0">
                  <c:v>Anaheim</c:v>
                </c:pt>
                <c:pt idx="1">
                  <c:v>Bakersfield</c:v>
                </c:pt>
                <c:pt idx="2">
                  <c:v>Fresno</c:v>
                </c:pt>
                <c:pt idx="3">
                  <c:v>Long Beach</c:v>
                </c:pt>
                <c:pt idx="4">
                  <c:v>Los Angeles</c:v>
                </c:pt>
                <c:pt idx="5">
                  <c:v>Oakland</c:v>
                </c:pt>
                <c:pt idx="6">
                  <c:v>Sacramento</c:v>
                </c:pt>
                <c:pt idx="7">
                  <c:v>San Diego</c:v>
                </c:pt>
                <c:pt idx="8">
                  <c:v>San Francisco</c:v>
                </c:pt>
                <c:pt idx="9">
                  <c:v>San Jose</c:v>
                </c:pt>
              </c:strCache>
            </c:strRef>
          </c:cat>
          <c:val>
            <c:numRef>
              <c:f>Sheet1!$B$3:$B$13</c:f>
              <c:numCache>
                <c:formatCode>General</c:formatCode>
                <c:ptCount val="10"/>
                <c:pt idx="0">
                  <c:v>5352</c:v>
                </c:pt>
                <c:pt idx="1">
                  <c:v>6094</c:v>
                </c:pt>
                <c:pt idx="2">
                  <c:v>5237</c:v>
                </c:pt>
                <c:pt idx="3">
                  <c:v>2176</c:v>
                </c:pt>
                <c:pt idx="4">
                  <c:v>6254</c:v>
                </c:pt>
                <c:pt idx="5">
                  <c:v>6015</c:v>
                </c:pt>
                <c:pt idx="6">
                  <c:v>5856</c:v>
                </c:pt>
                <c:pt idx="7">
                  <c:v>5856</c:v>
                </c:pt>
                <c:pt idx="8">
                  <c:v>5642</c:v>
                </c:pt>
                <c:pt idx="9">
                  <c:v>5647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84A-4714-B4E2-C1F658E54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3792775"/>
        <c:axId val="813803015"/>
      </c:lineChart>
      <c:catAx>
        <c:axId val="813792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urier New"/>
                <a:ea typeface="Courier New"/>
                <a:cs typeface="Courier New"/>
              </a:defRPr>
            </a:pPr>
            <a:endParaRPr lang="en-US"/>
          </a:p>
        </c:txPr>
        <c:crossAx val="813803015"/>
        <c:crosses val="autoZero"/>
        <c:auto val="1"/>
        <c:lblAlgn val="ctr"/>
        <c:lblOffset val="100"/>
        <c:noMultiLvlLbl val="0"/>
      </c:catAx>
      <c:valAx>
        <c:axId val="813803015"/>
        <c:scaling>
          <c:orientation val="minMax"/>
          <c:max val="6500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urier New"/>
                <a:ea typeface="Courier New"/>
                <a:cs typeface="Courier New"/>
              </a:defRPr>
            </a:pPr>
            <a:endParaRPr lang="en-US"/>
          </a:p>
        </c:txPr>
        <c:crossAx val="813792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0</xdr:row>
      <xdr:rowOff>85725</xdr:rowOff>
    </xdr:from>
    <xdr:to>
      <xdr:col>24</xdr:col>
      <xdr:colOff>57150</xdr:colOff>
      <xdr:row>18</xdr:row>
      <xdr:rowOff>152400</xdr:rowOff>
    </xdr:to>
    <xdr:graphicFrame macro="">
      <xdr:nvGraphicFramePr>
        <xdr:cNvPr id="3" name="Chart 2" descr="Chart type: Area. 'Sold' by 'CITY'&#10;&#10;Description automatically generated">
          <a:extLst>
            <a:ext uri="{FF2B5EF4-FFF2-40B4-BE49-F238E27FC236}">
              <a16:creationId xmlns:a16="http://schemas.microsoft.com/office/drawing/2014/main" id="{C9536A00-F10D-8584-8FDD-EAA78D66EF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4.464161689815" createdVersion="8" refreshedVersion="8" minRefreshableVersion="3" recordCount="1200" xr:uid="{BE03AEAE-C854-4CCD-B961-DB8333C12DCA}">
  <cacheSource type="worksheet">
    <worksheetSource name="Table2"/>
  </cacheSource>
  <cacheFields count="13">
    <cacheField name="CITY" numFmtId="0">
      <sharedItems count="10">
        <s v="San Francisco"/>
        <s v="Los Angeles"/>
        <s v="San Diego"/>
        <s v="Sacramento"/>
        <s v="Fresno"/>
        <s v="Bakersfield"/>
        <s v="San Jose"/>
        <s v="Long Beach"/>
        <s v="Oakland"/>
        <s v="Anaheim"/>
      </sharedItems>
    </cacheField>
    <cacheField name="DEPARTMENT" numFmtId="0">
      <sharedItems/>
    </cacheField>
    <cacheField name="ITEM" numFmtId="0">
      <sharedItems/>
    </cacheField>
    <cacheField name="UNIT" numFmtId="0">
      <sharedItems/>
    </cacheField>
    <cacheField name="BASE PRICE" numFmtId="44">
      <sharedItems containsSemiMixedTypes="0" containsString="0" containsNumber="1" minValue="0.2" maxValue="9"/>
    </cacheField>
    <cacheField name="COST" numFmtId="44">
      <sharedItems containsSemiMixedTypes="0" containsString="0" containsNumber="1" minValue="0.19" maxValue="9.9"/>
    </cacheField>
    <cacheField name="PRICE MULTIPLIER" numFmtId="0">
      <sharedItems containsSemiMixedTypes="0" containsString="0" containsNumber="1" minValue="1.95" maxValue="2.1"/>
    </cacheField>
    <cacheField name="NEW PRICE" numFmtId="44">
      <sharedItems containsSemiMixedTypes="0" containsString="0" containsNumber="1" minValue="0.39" maxValue="18.900000000000002"/>
    </cacheField>
    <cacheField name="STARTING INVENTORY" numFmtId="0">
      <sharedItems containsSemiMixedTypes="0" containsString="0" containsNumber="1" containsInteger="1" minValue="20" maxValue="199"/>
    </cacheField>
    <cacheField name="LOST INVENTORY" numFmtId="0">
      <sharedItems containsSemiMixedTypes="0" containsString="0" containsNumber="1" containsInteger="1" minValue="0" maxValue="10"/>
    </cacheField>
    <cacheField name="ENDING INVENTORY" numFmtId="0">
      <sharedItems containsSemiMixedTypes="0" containsString="0" containsNumber="1" containsInteger="1" minValue="0" maxValue="196"/>
    </cacheField>
    <cacheField name="Percentage Sold" numFmtId="9">
      <sharedItems containsSemiMixedTypes="0" containsString="0" containsNumber="1" minValue="0" maxValue="1"/>
    </cacheField>
    <cacheField name="Sold" numFmtId="0">
      <sharedItems containsSemiMixedTypes="0" containsString="0" containsNumber="1" containsInteger="1" minValue="0" maxValue="1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Produce"/>
    <s v="Bananas"/>
    <s v="lb"/>
    <n v="0.35"/>
    <n v="0.38500000000000001"/>
    <n v="1.95"/>
    <n v="0.6825"/>
    <n v="152"/>
    <n v="2"/>
    <n v="86"/>
    <n v="0.43421052631578949"/>
    <n v="66"/>
  </r>
  <r>
    <x v="0"/>
    <s v="Produce"/>
    <s v="Apples (Gala)"/>
    <s v="lb"/>
    <n v="0.85"/>
    <n v="0.93500000000000005"/>
    <n v="1.96"/>
    <n v="1.6659999999999999"/>
    <n v="142"/>
    <n v="0"/>
    <n v="48"/>
    <n v="0.6619718309859155"/>
    <n v="94"/>
  </r>
  <r>
    <x v="0"/>
    <s v="Produce"/>
    <s v="Oranges (Navel)"/>
    <s v="lb"/>
    <n v="0.7"/>
    <n v="0.77"/>
    <n v="1.98"/>
    <n v="1.3859999999999999"/>
    <n v="64"/>
    <n v="7"/>
    <n v="18"/>
    <n v="0.71875"/>
    <n v="46"/>
  </r>
  <r>
    <x v="0"/>
    <s v="Produce"/>
    <s v="Lemons"/>
    <s v="each"/>
    <n v="0.35"/>
    <n v="0.38500000000000001"/>
    <n v="1.98"/>
    <n v="0.69299999999999995"/>
    <n v="156"/>
    <n v="0"/>
    <n v="114"/>
    <n v="0.26923076923076922"/>
    <n v="42"/>
  </r>
  <r>
    <x v="0"/>
    <s v="Produce"/>
    <s v="Limes"/>
    <s v="each"/>
    <n v="0.2"/>
    <n v="0.22000000000000003"/>
    <n v="2.06"/>
    <n v="0.41200000000000003"/>
    <n v="121"/>
    <n v="2"/>
    <n v="88"/>
    <n v="0.27272727272727271"/>
    <n v="33"/>
  </r>
  <r>
    <x v="0"/>
    <s v="Produce"/>
    <s v="Avocados (Hass)"/>
    <s v="each"/>
    <n v="0.75"/>
    <n v="0.82500000000000007"/>
    <n v="2.06"/>
    <n v="1.5449999999999999"/>
    <n v="70"/>
    <n v="0"/>
    <n v="11"/>
    <n v="0.84285714285714286"/>
    <n v="59"/>
  </r>
  <r>
    <x v="0"/>
    <s v="Produce"/>
    <s v="Tomatoes (Roma)"/>
    <s v="lb"/>
    <n v="0.6"/>
    <n v="0.66"/>
    <n v="2.0099999999999998"/>
    <n v="1.2059999999999997"/>
    <n v="152"/>
    <n v="0"/>
    <n v="116"/>
    <n v="0.23684210526315788"/>
    <n v="36"/>
  </r>
  <r>
    <x v="0"/>
    <s v="Produce"/>
    <s v="Potatoes (Russet)"/>
    <s v="lb"/>
    <n v="0.45"/>
    <n v="0.49500000000000005"/>
    <n v="1.98"/>
    <n v="0.89100000000000001"/>
    <n v="171"/>
    <n v="1"/>
    <n v="126"/>
    <n v="0.26315789473684209"/>
    <n v="45"/>
  </r>
  <r>
    <x v="0"/>
    <s v="Produce"/>
    <s v="Onions (Yellow)"/>
    <s v="lb"/>
    <n v="0.4"/>
    <n v="0.44000000000000006"/>
    <n v="2.02"/>
    <n v="0.80800000000000005"/>
    <n v="124"/>
    <n v="5"/>
    <n v="105"/>
    <n v="0.15322580645161291"/>
    <n v="19"/>
  </r>
  <r>
    <x v="0"/>
    <s v="Produce"/>
    <s v="Carrots"/>
    <s v="lb"/>
    <n v="0.35"/>
    <n v="0.38500000000000001"/>
    <n v="1.96"/>
    <n v="0.68599999999999994"/>
    <n v="137"/>
    <n v="1"/>
    <n v="70"/>
    <n v="0.48905109489051096"/>
    <n v="67"/>
  </r>
  <r>
    <x v="0"/>
    <s v="Produce"/>
    <s v="Broccoli"/>
    <s v="lb"/>
    <n v="0.9"/>
    <n v="0.9900000000000001"/>
    <n v="2.08"/>
    <n v="1.8720000000000001"/>
    <n v="166"/>
    <n v="0"/>
    <n v="85"/>
    <n v="0.48795180722891568"/>
    <n v="81"/>
  </r>
  <r>
    <x v="0"/>
    <s v="Produce"/>
    <s v="Lettuce (Romaine)"/>
    <s v="each"/>
    <n v="1"/>
    <n v="1.1000000000000001"/>
    <n v="2.0099999999999998"/>
    <n v="2.0099999999999998"/>
    <n v="149"/>
    <n v="0"/>
    <n v="32"/>
    <n v="0.78523489932885904"/>
    <n v="117"/>
  </r>
  <r>
    <x v="0"/>
    <s v="Produce"/>
    <s v="Spinach (bagged)"/>
    <s v="lb"/>
    <n v="2.56"/>
    <n v="2.8160000000000003"/>
    <n v="2.0300000000000002"/>
    <n v="5.1968000000000005"/>
    <n v="153"/>
    <n v="2"/>
    <n v="80"/>
    <n v="0.47712418300653597"/>
    <n v="73"/>
  </r>
  <r>
    <x v="0"/>
    <s v="Produce"/>
    <s v="Bell Peppers (Green)"/>
    <s v="lb"/>
    <n v="0.75"/>
    <n v="0.82500000000000007"/>
    <n v="2.08"/>
    <n v="1.56"/>
    <n v="180"/>
    <n v="9"/>
    <n v="151"/>
    <n v="0.16111111111111112"/>
    <n v="29"/>
  </r>
  <r>
    <x v="0"/>
    <s v="Produce"/>
    <s v="Cucumbers"/>
    <s v="each"/>
    <n v="0.4"/>
    <n v="0.44000000000000006"/>
    <n v="1.95"/>
    <n v="0.78"/>
    <n v="199"/>
    <n v="2"/>
    <n v="60"/>
    <n v="0.69849246231155782"/>
    <n v="139"/>
  </r>
  <r>
    <x v="0"/>
    <s v="Produce"/>
    <s v="Grapes (Red Seedless)"/>
    <s v="lb"/>
    <n v="1.4"/>
    <n v="1.54"/>
    <n v="2.02"/>
    <n v="2.8279999999999998"/>
    <n v="102"/>
    <n v="2"/>
    <n v="60"/>
    <n v="0.41176470588235292"/>
    <n v="42"/>
  </r>
  <r>
    <x v="0"/>
    <s v="Produce"/>
    <s v="Strawberries (1 lb)"/>
    <s v="lb"/>
    <n v="2"/>
    <n v="2.2000000000000002"/>
    <n v="2.0700000000000003"/>
    <n v="4.1400000000000006"/>
    <n v="51"/>
    <n v="6"/>
    <n v="33"/>
    <n v="0.35294117647058826"/>
    <n v="18"/>
  </r>
  <r>
    <x v="0"/>
    <s v="Produce"/>
    <s v="Blueberries"/>
    <s v="lb"/>
    <n v="0.45"/>
    <n v="0.49500000000000005"/>
    <n v="2.1"/>
    <n v="0.94500000000000006"/>
    <n v="137"/>
    <n v="2"/>
    <n v="27"/>
    <n v="0.8029197080291971"/>
    <n v="110"/>
  </r>
  <r>
    <x v="0"/>
    <s v="Produce"/>
    <s v="Pineapple"/>
    <s v="each"/>
    <n v="1.9"/>
    <n v="2.09"/>
    <n v="1.95"/>
    <n v="3.7049999999999996"/>
    <n v="87"/>
    <n v="0"/>
    <n v="57"/>
    <n v="0.34482758620689657"/>
    <n v="30"/>
  </r>
  <r>
    <x v="0"/>
    <s v="Produce"/>
    <s v="Watermelon (whole)"/>
    <s v="each"/>
    <n v="4"/>
    <n v="4.4000000000000004"/>
    <n v="1.99"/>
    <n v="7.96"/>
    <n v="179"/>
    <n v="1"/>
    <n v="42"/>
    <n v="0.76536312849162014"/>
    <n v="137"/>
  </r>
  <r>
    <x v="0"/>
    <s v="Meat"/>
    <s v="Ground Beef (80/20)"/>
    <s v="lb"/>
    <n v="2.85"/>
    <n v="3.1350000000000002"/>
    <n v="1.99"/>
    <n v="5.6715"/>
    <n v="83"/>
    <n v="1"/>
    <n v="40"/>
    <n v="0.51807228915662651"/>
    <n v="43"/>
  </r>
  <r>
    <x v="0"/>
    <s v="Meat"/>
    <s v="Ground Turkey"/>
    <s v="lb"/>
    <n v="2.5"/>
    <n v="2.75"/>
    <n v="2"/>
    <n v="5"/>
    <n v="79"/>
    <n v="1"/>
    <n v="38"/>
    <n v="0.51898734177215189"/>
    <n v="41"/>
  </r>
  <r>
    <x v="0"/>
    <s v="Meat"/>
    <s v="Boneless Skinless Chicken Breast"/>
    <s v="lb"/>
    <n v="2.1"/>
    <n v="2.3100000000000005"/>
    <n v="2.0300000000000002"/>
    <n v="4.2630000000000008"/>
    <n v="40"/>
    <n v="1"/>
    <n v="21"/>
    <n v="0.47499999999999998"/>
    <n v="19"/>
  </r>
  <r>
    <x v="0"/>
    <s v="Meat"/>
    <s v="Chicken Thighs (bone-in)"/>
    <s v="lb"/>
    <n v="1"/>
    <n v="1.1000000000000001"/>
    <n v="2.0300000000000002"/>
    <n v="2.0300000000000002"/>
    <n v="52"/>
    <n v="5"/>
    <n v="16"/>
    <n v="0.69230769230769229"/>
    <n v="36"/>
  </r>
  <r>
    <x v="0"/>
    <s v="Meat"/>
    <s v="Whole Chicken"/>
    <s v="lb"/>
    <n v="0.9"/>
    <n v="0.9900000000000001"/>
    <n v="2.0300000000000002"/>
    <n v="1.8270000000000002"/>
    <n v="95"/>
    <n v="1"/>
    <n v="69"/>
    <n v="0.27368421052631581"/>
    <n v="26"/>
  </r>
  <r>
    <x v="0"/>
    <s v="Meat"/>
    <s v="Pork Chops (bone-in)"/>
    <s v="lb"/>
    <n v="1.9"/>
    <n v="2.09"/>
    <n v="1.97"/>
    <n v="3.7429999999999999"/>
    <n v="77"/>
    <n v="2"/>
    <n v="69"/>
    <n v="0.1038961038961039"/>
    <n v="8"/>
  </r>
  <r>
    <x v="0"/>
    <s v="Meat"/>
    <s v="Pork Shoulder (Boston Butt)"/>
    <s v="lb"/>
    <n v="1.3"/>
    <n v="1.4300000000000002"/>
    <n v="2.0700000000000003"/>
    <n v="2.6910000000000003"/>
    <n v="41"/>
    <n v="3"/>
    <n v="33"/>
    <n v="0.1951219512195122"/>
    <n v="8"/>
  </r>
  <r>
    <x v="0"/>
    <s v="Meat"/>
    <s v="Bacon (Regular Cut)"/>
    <s v="lb"/>
    <n v="4"/>
    <n v="4.4000000000000004"/>
    <n v="2.0300000000000002"/>
    <n v="8.120000000000001"/>
    <n v="68"/>
    <n v="1"/>
    <n v="64"/>
    <n v="5.8823529411764705E-2"/>
    <n v="4"/>
  </r>
  <r>
    <x v="0"/>
    <s v="Meat"/>
    <s v="Breakfast Sausage (bulk)"/>
    <s v="lb"/>
    <n v="2.2000000000000002"/>
    <n v="2.4200000000000004"/>
    <n v="2.06"/>
    <n v="4.5320000000000009"/>
    <n v="78"/>
    <n v="5"/>
    <n v="73"/>
    <n v="6.4102564102564097E-2"/>
    <n v="5"/>
  </r>
  <r>
    <x v="0"/>
    <s v="Meat"/>
    <s v="Italian Sausage (links)"/>
    <s v="lb"/>
    <n v="2.75"/>
    <n v="3.0250000000000004"/>
    <n v="2.06"/>
    <n v="5.665"/>
    <n v="61"/>
    <n v="2"/>
    <n v="20"/>
    <n v="0.67213114754098358"/>
    <n v="41"/>
  </r>
  <r>
    <x v="0"/>
    <s v="Meat"/>
    <s v="Beef Chuck Roast"/>
    <s v="lb"/>
    <n v="3.5"/>
    <n v="3.8500000000000005"/>
    <n v="2.08"/>
    <n v="7.28"/>
    <n v="79"/>
    <n v="1"/>
    <n v="4"/>
    <n v="0.94936708860759489"/>
    <n v="75"/>
  </r>
  <r>
    <x v="0"/>
    <s v="Meat"/>
    <s v="Beef Ribeye Steak (Boneless)"/>
    <s v="lb"/>
    <n v="8"/>
    <n v="8.8000000000000007"/>
    <n v="2.06"/>
    <n v="16.48"/>
    <n v="99"/>
    <n v="4"/>
    <n v="1"/>
    <n v="0.98989898989898994"/>
    <n v="98"/>
  </r>
  <r>
    <x v="0"/>
    <s v="Meat"/>
    <s v="New York Strip Steak"/>
    <s v="lb"/>
    <n v="7"/>
    <n v="7.7000000000000011"/>
    <n v="1.97"/>
    <n v="13.79"/>
    <n v="34"/>
    <n v="2"/>
    <n v="21"/>
    <n v="0.38235294117647056"/>
    <n v="13"/>
  </r>
  <r>
    <x v="0"/>
    <s v="Meat"/>
    <s v="Chicken Wings"/>
    <s v="lb"/>
    <n v="1.8"/>
    <n v="1.9800000000000002"/>
    <n v="2.06"/>
    <n v="3.7080000000000002"/>
    <n v="81"/>
    <n v="2"/>
    <n v="56"/>
    <n v="0.30864197530864196"/>
    <n v="25"/>
  </r>
  <r>
    <x v="0"/>
    <s v="Meat"/>
    <s v="Lamb Chops"/>
    <s v="lb"/>
    <n v="9"/>
    <n v="9.9"/>
    <n v="2.1"/>
    <n v="18.900000000000002"/>
    <n v="81"/>
    <n v="2"/>
    <n v="65"/>
    <n v="0.19753086419753085"/>
    <n v="16"/>
  </r>
  <r>
    <x v="0"/>
    <s v="Meat"/>
    <s v="Turkey (whole, frozen)"/>
    <s v="lb"/>
    <n v="0.95"/>
    <n v="1.0449999999999999"/>
    <n v="1.96"/>
    <n v="1.8619999999999999"/>
    <n v="66"/>
    <n v="2"/>
    <n v="15"/>
    <n v="0.77272727272727271"/>
    <n v="51"/>
  </r>
  <r>
    <x v="0"/>
    <s v="Meat"/>
    <s v="Ham (bone-in, smoked)"/>
    <s v="lb"/>
    <n v="1.85"/>
    <n v="2.0350000000000001"/>
    <n v="2"/>
    <n v="3.7"/>
    <n v="81"/>
    <n v="4"/>
    <n v="50"/>
    <n v="0.38271604938271603"/>
    <n v="31"/>
  </r>
  <r>
    <x v="0"/>
    <s v="Meat"/>
    <s v="Deli Turkey Breast (sliced)"/>
    <s v="lb"/>
    <n v="5.5"/>
    <n v="6.0500000000000007"/>
    <n v="2.1"/>
    <n v="11.55"/>
    <n v="70"/>
    <n v="0"/>
    <n v="38"/>
    <n v="0.45714285714285713"/>
    <n v="32"/>
  </r>
  <r>
    <x v="0"/>
    <s v="Meat"/>
    <s v="Hot Dogs (beef, standard pack)"/>
    <s v="lb"/>
    <n v="1.9"/>
    <n v="2.09"/>
    <n v="2.08"/>
    <n v="3.952"/>
    <n v="74"/>
    <n v="1"/>
    <n v="39"/>
    <n v="0.47297297297297297"/>
    <n v="35"/>
  </r>
  <r>
    <x v="0"/>
    <s v="Meat"/>
    <s v="Meatballs (pre-cooked)"/>
    <s v="lb"/>
    <n v="2.75"/>
    <n v="3.0250000000000004"/>
    <n v="2.04"/>
    <n v="5.61"/>
    <n v="83"/>
    <n v="0"/>
    <n v="37"/>
    <n v="0.55421686746987953"/>
    <n v="46"/>
  </r>
  <r>
    <x v="0"/>
    <s v="Frozen"/>
    <s v="Frozen Pizza (12”)"/>
    <s v="each"/>
    <n v="3.25"/>
    <n v="3.5750000000000002"/>
    <n v="1.97"/>
    <n v="6.4024999999999999"/>
    <n v="52"/>
    <n v="4"/>
    <n v="9"/>
    <n v="0.82692307692307687"/>
    <n v="43"/>
  </r>
  <r>
    <x v="0"/>
    <s v="Frozen"/>
    <s v="Frozen Mixed Vegetables (16 oz)"/>
    <s v="each"/>
    <n v="0.9"/>
    <n v="0.9900000000000001"/>
    <n v="1.97"/>
    <n v="1.7729999999999999"/>
    <n v="150"/>
    <n v="1"/>
    <n v="98"/>
    <n v="0.34666666666666668"/>
    <n v="52"/>
  </r>
  <r>
    <x v="0"/>
    <s v="Frozen"/>
    <s v="Frozen French Fries (32 oz)"/>
    <s v="each"/>
    <n v="1.6"/>
    <n v="1.7600000000000002"/>
    <n v="1.98"/>
    <n v="3.1680000000000001"/>
    <n v="100"/>
    <n v="6"/>
    <n v="63"/>
    <n v="0.37"/>
    <n v="37"/>
  </r>
  <r>
    <x v="0"/>
    <s v="Frozen"/>
    <s v="Frozen Broccoli Florets (16 oz)"/>
    <s v="each"/>
    <n v="1.1000000000000001"/>
    <n v="1.2100000000000002"/>
    <n v="2.04"/>
    <n v="2.2440000000000002"/>
    <n v="56"/>
    <n v="2"/>
    <n v="50"/>
    <n v="0.10714285714285714"/>
    <n v="6"/>
  </r>
  <r>
    <x v="0"/>
    <s v="Frozen"/>
    <s v="Frozen Corn (16 oz)"/>
    <s v="each"/>
    <n v="0.95"/>
    <n v="1.0449999999999999"/>
    <n v="1.99"/>
    <n v="1.8904999999999998"/>
    <n v="70"/>
    <n v="5"/>
    <n v="62"/>
    <n v="0.11428571428571428"/>
    <n v="8"/>
  </r>
  <r>
    <x v="0"/>
    <s v="Frozen"/>
    <s v="Ice Cream (1.5 qt)"/>
    <s v="each"/>
    <n v="2.75"/>
    <n v="3.0250000000000004"/>
    <n v="2.09"/>
    <n v="5.7474999999999996"/>
    <n v="122"/>
    <n v="9"/>
    <n v="48"/>
    <n v="0.60655737704918034"/>
    <n v="74"/>
  </r>
  <r>
    <x v="0"/>
    <s v="Frozen"/>
    <s v="Ice Cream Sandwiches (box of 6)"/>
    <s v="each"/>
    <n v="1.9"/>
    <n v="2.09"/>
    <n v="1.96"/>
    <n v="3.7239999999999998"/>
    <n v="88"/>
    <n v="5"/>
    <n v="63"/>
    <n v="0.28409090909090912"/>
    <n v="25"/>
  </r>
  <r>
    <x v="0"/>
    <s v="Frozen"/>
    <s v="Frozen Chicken Nuggets (32 oz)"/>
    <s v="each"/>
    <n v="4"/>
    <n v="4.4000000000000004"/>
    <n v="2.02"/>
    <n v="8.08"/>
    <n v="67"/>
    <n v="6"/>
    <n v="31"/>
    <n v="0.53731343283582089"/>
    <n v="36"/>
  </r>
  <r>
    <x v="0"/>
    <s v="Frozen"/>
    <s v="Frozen Burritos (individual)"/>
    <s v="each"/>
    <n v="0.8"/>
    <n v="0.88000000000000012"/>
    <n v="2.0300000000000002"/>
    <n v="1.6240000000000003"/>
    <n v="53"/>
    <n v="1"/>
    <n v="6"/>
    <n v="0.8867924528301887"/>
    <n v="47"/>
  </r>
  <r>
    <x v="0"/>
    <s v="Frozen"/>
    <s v="Frozen Meatballs (26 oz bag)"/>
    <s v="each"/>
    <n v="4.25"/>
    <n v="4.6750000000000007"/>
    <n v="1.99"/>
    <n v="8.4574999999999996"/>
    <n v="138"/>
    <n v="2"/>
    <n v="20"/>
    <n v="0.85507246376811596"/>
    <n v="118"/>
  </r>
  <r>
    <x v="0"/>
    <s v="Frozen"/>
    <s v="Frozen Waffles (box of 10)"/>
    <s v="each"/>
    <n v="1.6"/>
    <n v="1.7600000000000002"/>
    <n v="2.04"/>
    <n v="3.2640000000000002"/>
    <n v="109"/>
    <n v="1"/>
    <n v="19"/>
    <n v="0.82568807339449546"/>
    <n v="90"/>
  </r>
  <r>
    <x v="0"/>
    <s v="Frozen"/>
    <s v="Frozen Pancakes (box of 12)"/>
    <s v="each"/>
    <n v="1.65"/>
    <n v="1.8149999999999999"/>
    <n v="1.96"/>
    <n v="3.234"/>
    <n v="63"/>
    <n v="0"/>
    <n v="25"/>
    <n v="0.60317460317460314"/>
    <n v="38"/>
  </r>
  <r>
    <x v="0"/>
    <s v="Frozen"/>
    <s v="TV Dinner / Meal (10–12 oz)"/>
    <s v="each"/>
    <n v="2.2000000000000002"/>
    <n v="2.4200000000000004"/>
    <n v="2.0499999999999998"/>
    <n v="4.51"/>
    <n v="58"/>
    <n v="2"/>
    <n v="3"/>
    <n v="0.94827586206896552"/>
    <n v="55"/>
  </r>
  <r>
    <x v="0"/>
    <s v="Frozen"/>
    <s v="Frozen Fish Fillets (breaded, 24 oz)"/>
    <s v="each"/>
    <n v="4"/>
    <n v="4.4000000000000004"/>
    <n v="2.09"/>
    <n v="8.36"/>
    <n v="139"/>
    <n v="2"/>
    <n v="109"/>
    <n v="0.21582733812949639"/>
    <n v="30"/>
  </r>
  <r>
    <x v="0"/>
    <s v="Frozen"/>
    <s v="Frozen Shrimp (raw, peeled, 1 lb)"/>
    <s v="each"/>
    <n v="5.25"/>
    <n v="5.7750000000000004"/>
    <n v="2.08"/>
    <n v="10.92"/>
    <n v="102"/>
    <n v="1"/>
    <n v="85"/>
    <n v="0.16666666666666666"/>
    <n v="17"/>
  </r>
  <r>
    <x v="0"/>
    <s v="Frozen"/>
    <s v="Frozen Fruit (Strawberries, 16 oz)"/>
    <s v="each"/>
    <n v="2"/>
    <n v="2.2000000000000002"/>
    <n v="1.97"/>
    <n v="3.94"/>
    <n v="51"/>
    <n v="2"/>
    <n v="14"/>
    <n v="0.72549019607843135"/>
    <n v="37"/>
  </r>
  <r>
    <x v="0"/>
    <s v="Frozen"/>
    <s v="Frozen Pie (apple, 8”)"/>
    <s v="each"/>
    <n v="2.8"/>
    <n v="3.08"/>
    <n v="1.99"/>
    <n v="5.5720000000000001"/>
    <n v="133"/>
    <n v="6"/>
    <n v="119"/>
    <n v="0.10526315789473684"/>
    <n v="14"/>
  </r>
  <r>
    <x v="0"/>
    <s v="Frozen"/>
    <s v="Frozen Garlic Bread (16 oz)"/>
    <s v="each"/>
    <n v="1.35"/>
    <n v="1.4850000000000003"/>
    <n v="2.04"/>
    <n v="2.7540000000000004"/>
    <n v="141"/>
    <n v="2"/>
    <n v="78"/>
    <n v="0.44680851063829785"/>
    <n v="63"/>
  </r>
  <r>
    <x v="0"/>
    <s v="Frozen"/>
    <s v="Frozen Breakfast Sandwich (2-pack)"/>
    <s v="each"/>
    <n v="2.25"/>
    <n v="2.4750000000000001"/>
    <n v="2"/>
    <n v="4.5"/>
    <n v="109"/>
    <n v="4"/>
    <n v="85"/>
    <n v="0.22018348623853212"/>
    <n v="24"/>
  </r>
  <r>
    <x v="0"/>
    <s v="Frozen"/>
    <s v="Frozen Veggie Burgers (4-pack)"/>
    <s v="each"/>
    <n v="2.8"/>
    <n v="3.08"/>
    <n v="2.02"/>
    <n v="5.6559999999999997"/>
    <n v="120"/>
    <n v="5"/>
    <n v="115"/>
    <n v="4.1666666666666664E-2"/>
    <n v="5"/>
  </r>
  <r>
    <x v="0"/>
    <s v="Deli"/>
    <s v="Sliced Turkey Breast"/>
    <s v="lb"/>
    <n v="5.25"/>
    <n v="5.7750000000000004"/>
    <n v="2.09"/>
    <n v="10.9725"/>
    <n v="73"/>
    <n v="9"/>
    <n v="13"/>
    <n v="0.82191780821917804"/>
    <n v="60"/>
  </r>
  <r>
    <x v="0"/>
    <s v="Deli"/>
    <s v="Sliced Ham (Honey or Black Forest)"/>
    <s v="lb"/>
    <n v="4.75"/>
    <n v="5.2250000000000005"/>
    <n v="2.04"/>
    <n v="9.69"/>
    <n v="37"/>
    <n v="3"/>
    <n v="26"/>
    <n v="0.29729729729729731"/>
    <n v="11"/>
  </r>
  <r>
    <x v="0"/>
    <s v="Deli"/>
    <s v="Roast Beef (sliced)"/>
    <s v="lb"/>
    <n v="6.5"/>
    <n v="7.15"/>
    <n v="1.97"/>
    <n v="12.805"/>
    <n v="76"/>
    <n v="5"/>
    <n v="39"/>
    <n v="0.48684210526315791"/>
    <n v="37"/>
  </r>
  <r>
    <x v="0"/>
    <s v="Deli"/>
    <s v="Genoa Salami"/>
    <s v="lb"/>
    <n v="5.75"/>
    <n v="6.3250000000000002"/>
    <n v="2.0300000000000002"/>
    <n v="11.672500000000001"/>
    <n v="64"/>
    <n v="8"/>
    <n v="27"/>
    <n v="0.578125"/>
    <n v="37"/>
  </r>
  <r>
    <x v="0"/>
    <s v="Deli"/>
    <s v="Hard Salami"/>
    <s v="lb"/>
    <n v="5.5"/>
    <n v="6.0500000000000007"/>
    <n v="1.97"/>
    <n v="10.834999999999999"/>
    <n v="107"/>
    <n v="8"/>
    <n v="25"/>
    <n v="0.76635514018691586"/>
    <n v="82"/>
  </r>
  <r>
    <x v="0"/>
    <s v="Deli"/>
    <s v="Pepperoni (sliced)"/>
    <s v="lb"/>
    <n v="4.25"/>
    <n v="4.6750000000000007"/>
    <n v="1.98"/>
    <n v="8.4149999999999991"/>
    <n v="110"/>
    <n v="0"/>
    <n v="62"/>
    <n v="0.43636363636363634"/>
    <n v="48"/>
  </r>
  <r>
    <x v="0"/>
    <s v="Deli"/>
    <s v="Chicken Breast (sliced)"/>
    <s v="lb"/>
    <n v="5.0999999999999996"/>
    <n v="5.61"/>
    <n v="2.0099999999999998"/>
    <n v="10.250999999999998"/>
    <n v="65"/>
    <n v="1"/>
    <n v="24"/>
    <n v="0.63076923076923075"/>
    <n v="41"/>
  </r>
  <r>
    <x v="0"/>
    <s v="Deli"/>
    <s v="Bologna"/>
    <s v="lb"/>
    <n v="2.8"/>
    <n v="3.08"/>
    <n v="2.0300000000000002"/>
    <n v="5.6840000000000002"/>
    <n v="79"/>
    <n v="1"/>
    <n v="2"/>
    <n v="0.97468354430379744"/>
    <n v="77"/>
  </r>
  <r>
    <x v="0"/>
    <s v="Deli"/>
    <s v="Mortadella"/>
    <s v="lb"/>
    <n v="4"/>
    <n v="4.4000000000000004"/>
    <n v="2.02"/>
    <n v="8.08"/>
    <n v="33"/>
    <n v="0"/>
    <n v="7"/>
    <n v="0.78787878787878785"/>
    <n v="26"/>
  </r>
  <r>
    <x v="0"/>
    <s v="Deli"/>
    <s v="Prosciutto"/>
    <s v="lb"/>
    <n v="9"/>
    <n v="9.9"/>
    <n v="2.09"/>
    <n v="18.809999999999999"/>
    <n v="31"/>
    <n v="3"/>
    <n v="11"/>
    <n v="0.64516129032258063"/>
    <n v="20"/>
  </r>
  <r>
    <x v="0"/>
    <s v="Deli"/>
    <s v="American Cheese (processed)"/>
    <s v="lb"/>
    <n v="2.75"/>
    <n v="3.0250000000000004"/>
    <n v="2.0499999999999998"/>
    <n v="5.6374999999999993"/>
    <n v="35"/>
    <n v="4"/>
    <n v="0"/>
    <n v="1"/>
    <n v="35"/>
  </r>
  <r>
    <x v="0"/>
    <s v="Deli"/>
    <s v="Cheddar Cheese (sharp)"/>
    <s v="lb"/>
    <n v="3.9"/>
    <n v="4.29"/>
    <n v="2.04"/>
    <n v="7.9559999999999995"/>
    <n v="83"/>
    <n v="5"/>
    <n v="41"/>
    <n v="0.50602409638554213"/>
    <n v="42"/>
  </r>
  <r>
    <x v="0"/>
    <s v="Deli"/>
    <s v="Swiss Cheese"/>
    <s v="lb"/>
    <n v="4.3"/>
    <n v="4.7300000000000004"/>
    <n v="2"/>
    <n v="8.6"/>
    <n v="33"/>
    <n v="0"/>
    <n v="5"/>
    <n v="0.84848484848484851"/>
    <n v="28"/>
  </r>
  <r>
    <x v="0"/>
    <s v="Deli"/>
    <s v="Provolone Cheese"/>
    <s v="lb"/>
    <n v="4"/>
    <n v="4.4000000000000004"/>
    <n v="1.95"/>
    <n v="7.8"/>
    <n v="83"/>
    <n v="6"/>
    <n v="38"/>
    <n v="0.54216867469879515"/>
    <n v="45"/>
  </r>
  <r>
    <x v="0"/>
    <s v="Deli"/>
    <s v="Mozzarella (fresh, sliced)"/>
    <s v="lb"/>
    <n v="4.75"/>
    <n v="5.2250000000000005"/>
    <n v="2.1"/>
    <n v="9.9749999999999996"/>
    <n v="92"/>
    <n v="3"/>
    <n v="51"/>
    <n v="0.44565217391304346"/>
    <n v="41"/>
  </r>
  <r>
    <x v="0"/>
    <s v="Deli"/>
    <s v="Coleslaw (prepared)"/>
    <s v="lb"/>
    <n v="2.25"/>
    <n v="2.4750000000000001"/>
    <n v="2.09"/>
    <n v="4.7024999999999997"/>
    <n v="47"/>
    <n v="4"/>
    <n v="22"/>
    <n v="0.53191489361702127"/>
    <n v="25"/>
  </r>
  <r>
    <x v="0"/>
    <s v="Deli"/>
    <s v="Potato Salad (prepared)"/>
    <s v="lb"/>
    <n v="2.1"/>
    <n v="2.3100000000000005"/>
    <n v="1.95"/>
    <n v="4.0949999999999998"/>
    <n v="119"/>
    <n v="7"/>
    <n v="88"/>
    <n v="0.26050420168067229"/>
    <n v="31"/>
  </r>
  <r>
    <x v="0"/>
    <s v="Deli"/>
    <s v="Macaroni Salad"/>
    <s v="lb"/>
    <n v="2"/>
    <n v="2.2000000000000002"/>
    <n v="2.0700000000000003"/>
    <n v="4.1400000000000006"/>
    <n v="73"/>
    <n v="3"/>
    <n v="49"/>
    <n v="0.32876712328767121"/>
    <n v="24"/>
  </r>
  <r>
    <x v="0"/>
    <s v="Deli"/>
    <s v="Rotisserie Chicken (whole)"/>
    <s v="each"/>
    <n v="4.5"/>
    <n v="4.95"/>
    <n v="1.99"/>
    <n v="8.9550000000000001"/>
    <n v="63"/>
    <n v="1"/>
    <n v="42"/>
    <n v="0.33333333333333331"/>
    <n v="21"/>
  </r>
  <r>
    <x v="0"/>
    <s v="Deli"/>
    <s v="Deli Sandwich (made to order)"/>
    <s v="each"/>
    <n v="3.75"/>
    <n v="4.125"/>
    <n v="2"/>
    <n v="7.5"/>
    <n v="103"/>
    <n v="5"/>
    <n v="18"/>
    <n v="0.82524271844660191"/>
    <n v="85"/>
  </r>
  <r>
    <x v="0"/>
    <s v="Dairy"/>
    <s v="Whole Milk (1 gallon)"/>
    <s v="each"/>
    <n v="2"/>
    <n v="2.2000000000000002"/>
    <n v="1.95"/>
    <n v="3.9"/>
    <n v="121"/>
    <n v="1"/>
    <n v="68"/>
    <n v="0.43801652892561982"/>
    <n v="53"/>
  </r>
  <r>
    <x v="0"/>
    <s v="Dairy"/>
    <s v="2% Milk (1 gallon)"/>
    <s v="each"/>
    <n v="1.95"/>
    <n v="2.145"/>
    <n v="2.0300000000000002"/>
    <n v="3.9585000000000004"/>
    <n v="159"/>
    <n v="0"/>
    <n v="50"/>
    <n v="0.68553459119496851"/>
    <n v="109"/>
  </r>
  <r>
    <x v="0"/>
    <s v="Dairy"/>
    <s v="Skim Milk (1 gallon)"/>
    <s v="each"/>
    <n v="1.9"/>
    <n v="2.09"/>
    <n v="2.09"/>
    <n v="3.9709999999999996"/>
    <n v="73"/>
    <n v="5"/>
    <n v="10"/>
    <n v="0.86301369863013699"/>
    <n v="63"/>
  </r>
  <r>
    <x v="0"/>
    <s v="Dairy"/>
    <s v="Organic Milk (1/2 gallon)"/>
    <s v="each"/>
    <n v="3.1"/>
    <n v="3.4100000000000006"/>
    <n v="1.95"/>
    <n v="6.0449999999999999"/>
    <n v="154"/>
    <n v="1"/>
    <n v="11"/>
    <n v="0.9285714285714286"/>
    <n v="143"/>
  </r>
  <r>
    <x v="0"/>
    <s v="Dairy"/>
    <s v="Heavy Whipping Cream (pint)"/>
    <s v="each"/>
    <n v="2"/>
    <n v="2.2000000000000002"/>
    <n v="1.96"/>
    <n v="3.92"/>
    <n v="107"/>
    <n v="4"/>
    <n v="73"/>
    <n v="0.31775700934579437"/>
    <n v="34"/>
  </r>
  <r>
    <x v="0"/>
    <s v="Dairy"/>
    <s v="Half &amp; Half (quart)"/>
    <s v="each"/>
    <n v="1.7"/>
    <n v="1.87"/>
    <n v="1.95"/>
    <n v="3.3149999999999999"/>
    <n v="74"/>
    <n v="1"/>
    <n v="7"/>
    <n v="0.90540540540540537"/>
    <n v="67"/>
  </r>
  <r>
    <x v="0"/>
    <s v="Dairy"/>
    <s v="Buttermilk (quart)"/>
    <s v="each"/>
    <n v="1.5"/>
    <n v="1.6500000000000001"/>
    <n v="2.04"/>
    <n v="3.06"/>
    <n v="131"/>
    <n v="6"/>
    <n v="23"/>
    <n v="0.82442748091603058"/>
    <n v="108"/>
  </r>
  <r>
    <x v="0"/>
    <s v="Dairy"/>
    <s v="Butter (salted, 1 lb)"/>
    <s v="each"/>
    <n v="2.65"/>
    <n v="2.915"/>
    <n v="2.02"/>
    <n v="5.3529999999999998"/>
    <n v="137"/>
    <n v="0"/>
    <n v="40"/>
    <n v="0.70802919708029199"/>
    <n v="97"/>
  </r>
  <r>
    <x v="0"/>
    <s v="Dairy"/>
    <s v="Margarine (1 lb)"/>
    <s v="each"/>
    <n v="1.2"/>
    <n v="1.32"/>
    <n v="1.96"/>
    <n v="2.3519999999999999"/>
    <n v="146"/>
    <n v="9"/>
    <n v="84"/>
    <n v="0.42465753424657532"/>
    <n v="62"/>
  </r>
  <r>
    <x v="0"/>
    <s v="Dairy"/>
    <s v="Sour Cream (16 oz)"/>
    <s v="each"/>
    <n v="1.4"/>
    <n v="1.54"/>
    <n v="2.0700000000000003"/>
    <n v="2.8980000000000001"/>
    <n v="121"/>
    <n v="4"/>
    <n v="71"/>
    <n v="0.41322314049586778"/>
    <n v="50"/>
  </r>
  <r>
    <x v="0"/>
    <s v="Dairy"/>
    <s v="Cottage Cheese (16 oz)"/>
    <s v="each"/>
    <n v="1.6"/>
    <n v="1.7600000000000002"/>
    <n v="1.99"/>
    <n v="3.1840000000000002"/>
    <n v="99"/>
    <n v="0"/>
    <n v="54"/>
    <n v="0.45454545454545453"/>
    <n v="45"/>
  </r>
  <r>
    <x v="0"/>
    <s v="Dairy"/>
    <s v="Greek Yogurt (single 5.3 oz cup)"/>
    <s v="each"/>
    <n v="0.7"/>
    <n v="0.77"/>
    <n v="2.1"/>
    <n v="1.47"/>
    <n v="144"/>
    <n v="2"/>
    <n v="136"/>
    <n v="5.5555555555555552E-2"/>
    <n v="8"/>
  </r>
  <r>
    <x v="0"/>
    <s v="Dairy"/>
    <s v="Yogurt (regular, 6 oz)"/>
    <s v="each"/>
    <n v="0.55000000000000004"/>
    <n v="0.60500000000000009"/>
    <n v="2.0099999999999998"/>
    <n v="1.1054999999999999"/>
    <n v="139"/>
    <n v="9"/>
    <n v="46"/>
    <n v="0.6690647482014388"/>
    <n v="93"/>
  </r>
  <r>
    <x v="0"/>
    <s v="Dairy"/>
    <s v="Cream Cheese (8 oz block)"/>
    <s v="each"/>
    <n v="1.4"/>
    <n v="1.54"/>
    <n v="2.0499999999999998"/>
    <n v="2.8699999999999997"/>
    <n v="168"/>
    <n v="2"/>
    <n v="142"/>
    <n v="0.15476190476190477"/>
    <n v="26"/>
  </r>
  <r>
    <x v="0"/>
    <s v="Dairy"/>
    <s v="Shredded Cheese (8 oz bag)"/>
    <s v="each"/>
    <n v="2"/>
    <n v="2.2000000000000002"/>
    <n v="2.0099999999999998"/>
    <n v="4.0199999999999996"/>
    <n v="141"/>
    <n v="0"/>
    <n v="103"/>
    <n v="0.26950354609929078"/>
    <n v="38"/>
  </r>
  <r>
    <x v="0"/>
    <s v="Dairy"/>
    <s v="Sliced Cheese (8 oz)"/>
    <s v="each"/>
    <n v="2.25"/>
    <n v="2.4750000000000001"/>
    <n v="2.02"/>
    <n v="4.5449999999999999"/>
    <n v="170"/>
    <n v="2"/>
    <n v="41"/>
    <n v="0.75882352941176467"/>
    <n v="129"/>
  </r>
  <r>
    <x v="0"/>
    <s v="Dairy"/>
    <s v="Cheddar Cheese Block (1 lb)"/>
    <s v="each"/>
    <n v="3.4"/>
    <n v="3.74"/>
    <n v="2.0700000000000003"/>
    <n v="7.0380000000000011"/>
    <n v="112"/>
    <n v="2"/>
    <n v="59"/>
    <n v="0.4732142857142857"/>
    <n v="53"/>
  </r>
  <r>
    <x v="0"/>
    <s v="Dairy"/>
    <s v="Mozzarella (low moisture, 1 lb)"/>
    <s v="each"/>
    <n v="3.1"/>
    <n v="3.4100000000000006"/>
    <n v="2"/>
    <n v="6.2"/>
    <n v="83"/>
    <n v="4"/>
    <n v="69"/>
    <n v="0.16867469879518071"/>
    <n v="14"/>
  </r>
  <r>
    <x v="0"/>
    <s v="Dairy"/>
    <s v="Eggs (dozen, large, Grade A)"/>
    <s v="each"/>
    <n v="1.5"/>
    <n v="1.6500000000000001"/>
    <n v="1.96"/>
    <n v="2.94"/>
    <n v="85"/>
    <n v="3"/>
    <n v="11"/>
    <n v="0.87058823529411766"/>
    <n v="74"/>
  </r>
  <r>
    <x v="0"/>
    <s v="Dairy"/>
    <s v="Egg Substitute (16 oz carton)"/>
    <s v="each"/>
    <n v="1.9"/>
    <n v="2.09"/>
    <n v="1.95"/>
    <n v="3.7049999999999996"/>
    <n v="148"/>
    <n v="1"/>
    <n v="129"/>
    <n v="0.12837837837837837"/>
    <n v="19"/>
  </r>
  <r>
    <x v="0"/>
    <s v="Bakery"/>
    <s v="White Sandwich Bread (loaf)"/>
    <s v="each"/>
    <n v="1.3"/>
    <n v="1.4300000000000002"/>
    <n v="1.99"/>
    <n v="2.5870000000000002"/>
    <n v="99"/>
    <n v="0"/>
    <n v="6"/>
    <n v="0.93939393939393945"/>
    <n v="93"/>
  </r>
  <r>
    <x v="0"/>
    <s v="Bakery"/>
    <s v="Whole Wheat Bread (loaf)"/>
    <s v="each"/>
    <n v="1.6"/>
    <n v="1.7600000000000002"/>
    <n v="2.02"/>
    <n v="3.2320000000000002"/>
    <n v="148"/>
    <n v="3"/>
    <n v="79"/>
    <n v="0.46621621621621623"/>
    <n v="69"/>
  </r>
  <r>
    <x v="0"/>
    <s v="Bakery"/>
    <s v="French Baguette"/>
    <s v="each"/>
    <n v="1.35"/>
    <n v="1.4850000000000003"/>
    <n v="2.09"/>
    <n v="2.8214999999999999"/>
    <n v="80"/>
    <n v="1"/>
    <n v="2"/>
    <n v="0.97499999999999998"/>
    <n v="78"/>
  </r>
  <r>
    <x v="0"/>
    <s v="Bakery"/>
    <s v="Italian Bread (loaf)"/>
    <s v="each"/>
    <n v="1.6"/>
    <n v="1.7600000000000002"/>
    <n v="1.97"/>
    <n v="3.1520000000000001"/>
    <n v="68"/>
    <n v="0"/>
    <n v="2"/>
    <n v="0.97058823529411764"/>
    <n v="66"/>
  </r>
  <r>
    <x v="0"/>
    <s v="Bakery"/>
    <s v="Dinner Rolls (12-pack)"/>
    <s v="each"/>
    <n v="2.1"/>
    <n v="2.3100000000000005"/>
    <n v="2.04"/>
    <n v="4.2840000000000007"/>
    <n v="54"/>
    <n v="7"/>
    <n v="26"/>
    <n v="0.51851851851851849"/>
    <n v="28"/>
  </r>
  <r>
    <x v="0"/>
    <s v="Bakery"/>
    <s v="Kaiser Rolls (6-pack)"/>
    <s v="each"/>
    <n v="1.85"/>
    <n v="2.0350000000000001"/>
    <n v="2.02"/>
    <n v="3.7370000000000001"/>
    <n v="84"/>
    <n v="3"/>
    <n v="39"/>
    <n v="0.5357142857142857"/>
    <n v="45"/>
  </r>
  <r>
    <x v="0"/>
    <s v="Bakery"/>
    <s v="Hamburger Buns (8-pack)"/>
    <s v="each"/>
    <n v="1.55"/>
    <n v="1.7050000000000003"/>
    <n v="2.04"/>
    <n v="3.1620000000000004"/>
    <n v="104"/>
    <n v="3"/>
    <n v="101"/>
    <n v="2.8846153846153848E-2"/>
    <n v="3"/>
  </r>
  <r>
    <x v="0"/>
    <s v="Bakery"/>
    <s v="Hot Dog Buns (8-pack)"/>
    <s v="each"/>
    <n v="1.55"/>
    <n v="1.7050000000000003"/>
    <n v="2.08"/>
    <n v="3.2240000000000002"/>
    <n v="128"/>
    <n v="5"/>
    <n v="32"/>
    <n v="0.75"/>
    <n v="96"/>
  </r>
  <r>
    <x v="0"/>
    <s v="Bakery"/>
    <s v="English Muffins (6-pack)"/>
    <s v="each"/>
    <n v="1.75"/>
    <n v="1.9250000000000003"/>
    <n v="1.99"/>
    <n v="3.4824999999999999"/>
    <n v="110"/>
    <n v="2"/>
    <n v="91"/>
    <n v="0.17272727272727273"/>
    <n v="19"/>
  </r>
  <r>
    <x v="0"/>
    <s v="Bakery"/>
    <s v="Bagels (6-pack)"/>
    <s v="each"/>
    <n v="2.2000000000000002"/>
    <n v="2.4200000000000004"/>
    <n v="1.98"/>
    <n v="4.3559999999999999"/>
    <n v="48"/>
    <n v="5"/>
    <n v="0"/>
    <n v="1"/>
    <n v="48"/>
  </r>
  <r>
    <x v="0"/>
    <s v="Bakery"/>
    <s v="Croissants (4-pack)"/>
    <s v="each"/>
    <n v="2.75"/>
    <n v="3.0250000000000004"/>
    <n v="2.0499999999999998"/>
    <n v="5.6374999999999993"/>
    <n v="127"/>
    <n v="2"/>
    <n v="118"/>
    <n v="7.0866141732283464E-2"/>
    <n v="9"/>
  </r>
  <r>
    <x v="0"/>
    <s v="Bakery"/>
    <s v="Muffins (4-pack, assorted)"/>
    <s v="each"/>
    <n v="2.4"/>
    <n v="2.64"/>
    <n v="1.95"/>
    <n v="4.68"/>
    <n v="40"/>
    <n v="0"/>
    <n v="7"/>
    <n v="0.82499999999999996"/>
    <n v="33"/>
  </r>
  <r>
    <x v="0"/>
    <s v="Bakery"/>
    <s v="Donuts (6-pack, glazed)"/>
    <s v="each"/>
    <n v="2.7"/>
    <n v="2.9700000000000006"/>
    <n v="1.98"/>
    <n v="5.3460000000000001"/>
    <n v="147"/>
    <n v="1"/>
    <n v="100"/>
    <n v="0.31972789115646261"/>
    <n v="47"/>
  </r>
  <r>
    <x v="0"/>
    <s v="Bakery"/>
    <s v="Danish Pastries (4-pack)"/>
    <s v="each"/>
    <n v="2.6"/>
    <n v="2.8600000000000003"/>
    <n v="2.08"/>
    <n v="5.4080000000000004"/>
    <n v="47"/>
    <n v="2"/>
    <n v="31"/>
    <n v="0.34042553191489361"/>
    <n v="16"/>
  </r>
  <r>
    <x v="0"/>
    <s v="Bakery"/>
    <s v="Apple Pie (9”)"/>
    <s v="each"/>
    <n v="4"/>
    <n v="4.4000000000000004"/>
    <n v="2.0099999999999998"/>
    <n v="8.0399999999999991"/>
    <n v="127"/>
    <n v="4"/>
    <n v="123"/>
    <n v="3.1496062992125984E-2"/>
    <n v="4"/>
  </r>
  <r>
    <x v="0"/>
    <s v="Bakery"/>
    <s v="Pumpkin Pie (9”)"/>
    <s v="each"/>
    <n v="4.25"/>
    <n v="4.6750000000000007"/>
    <n v="2.0300000000000002"/>
    <n v="8.6275000000000013"/>
    <n v="102"/>
    <n v="0"/>
    <n v="47"/>
    <n v="0.53921568627450978"/>
    <n v="55"/>
  </r>
  <r>
    <x v="0"/>
    <s v="Bakery"/>
    <s v="Chocolate Cake (single layer)"/>
    <s v="each"/>
    <n v="5"/>
    <n v="5.5"/>
    <n v="2.06"/>
    <n v="10.3"/>
    <n v="50"/>
    <n v="0"/>
    <n v="42"/>
    <n v="0.16"/>
    <n v="8"/>
  </r>
  <r>
    <x v="0"/>
    <s v="Bakery"/>
    <s v="Cupcakes (6-pack)"/>
    <s v="each"/>
    <n v="3"/>
    <n v="3.3000000000000003"/>
    <n v="2.0099999999999998"/>
    <n v="6.0299999999999994"/>
    <n v="120"/>
    <n v="1"/>
    <n v="100"/>
    <n v="0.16666666666666666"/>
    <n v="20"/>
  </r>
  <r>
    <x v="0"/>
    <s v="Bakery"/>
    <s v="Brownies (6-pack)"/>
    <s v="each"/>
    <n v="2.4"/>
    <n v="2.64"/>
    <n v="1.97"/>
    <n v="4.7279999999999998"/>
    <n v="47"/>
    <n v="1"/>
    <n v="3"/>
    <n v="0.93617021276595747"/>
    <n v="44"/>
  </r>
  <r>
    <x v="0"/>
    <s v="Bakery"/>
    <s v="Coffee Cake (whole)"/>
    <s v="each"/>
    <n v="3.25"/>
    <n v="3.5750000000000002"/>
    <n v="2.02"/>
    <n v="6.5650000000000004"/>
    <n v="74"/>
    <n v="4"/>
    <n v="69"/>
    <n v="6.7567567567567571E-2"/>
    <n v="5"/>
  </r>
  <r>
    <x v="1"/>
    <s v="Produce"/>
    <s v="Bananas"/>
    <s v="lb"/>
    <n v="0.35"/>
    <n v="0.36749999999999999"/>
    <n v="2.0700000000000003"/>
    <n v="0.72450000000000003"/>
    <n v="82"/>
    <n v="1"/>
    <n v="18"/>
    <n v="0.78048780487804881"/>
    <n v="64"/>
  </r>
  <r>
    <x v="1"/>
    <s v="Produce"/>
    <s v="Apples (Gala)"/>
    <s v="lb"/>
    <n v="0.85"/>
    <n v="0.89249999999999996"/>
    <n v="2.06"/>
    <n v="1.7509999999999999"/>
    <n v="172"/>
    <n v="3"/>
    <n v="31"/>
    <n v="0.81976744186046513"/>
    <n v="141"/>
  </r>
  <r>
    <x v="1"/>
    <s v="Produce"/>
    <s v="Oranges (Navel)"/>
    <s v="lb"/>
    <n v="0.7"/>
    <n v="0.73499999999999999"/>
    <n v="1.96"/>
    <n v="1.3719999999999999"/>
    <n v="54"/>
    <n v="2"/>
    <n v="8"/>
    <n v="0.85185185185185186"/>
    <n v="46"/>
  </r>
  <r>
    <x v="1"/>
    <s v="Produce"/>
    <s v="Lemons"/>
    <s v="each"/>
    <n v="0.35"/>
    <n v="0.36749999999999999"/>
    <n v="2.09"/>
    <n v="0.73149999999999993"/>
    <n v="90"/>
    <n v="2"/>
    <n v="11"/>
    <n v="0.87777777777777777"/>
    <n v="79"/>
  </r>
  <r>
    <x v="1"/>
    <s v="Produce"/>
    <s v="Limes"/>
    <s v="each"/>
    <n v="0.2"/>
    <n v="0.21000000000000002"/>
    <n v="2"/>
    <n v="0.4"/>
    <n v="77"/>
    <n v="5"/>
    <n v="10"/>
    <n v="0.87012987012987009"/>
    <n v="67"/>
  </r>
  <r>
    <x v="1"/>
    <s v="Produce"/>
    <s v="Avocados (Hass)"/>
    <s v="each"/>
    <n v="0.75"/>
    <n v="0.78750000000000009"/>
    <n v="2.1"/>
    <n v="1.5750000000000002"/>
    <n v="184"/>
    <n v="1"/>
    <n v="45"/>
    <n v="0.75543478260869568"/>
    <n v="139"/>
  </r>
  <r>
    <x v="1"/>
    <s v="Produce"/>
    <s v="Tomatoes (Roma)"/>
    <s v="lb"/>
    <n v="0.6"/>
    <n v="0.63"/>
    <n v="2.0300000000000002"/>
    <n v="1.2180000000000002"/>
    <n v="121"/>
    <n v="4"/>
    <n v="15"/>
    <n v="0.87603305785123964"/>
    <n v="106"/>
  </r>
  <r>
    <x v="1"/>
    <s v="Produce"/>
    <s v="Potatoes (Russet)"/>
    <s v="lb"/>
    <n v="0.45"/>
    <n v="0.47250000000000003"/>
    <n v="1.95"/>
    <n v="0.87749999999999995"/>
    <n v="61"/>
    <n v="1"/>
    <n v="0"/>
    <n v="1"/>
    <n v="61"/>
  </r>
  <r>
    <x v="1"/>
    <s v="Produce"/>
    <s v="Onions (Yellow)"/>
    <s v="lb"/>
    <n v="0.4"/>
    <n v="0.42000000000000004"/>
    <n v="1.96"/>
    <n v="0.78400000000000003"/>
    <n v="82"/>
    <n v="1"/>
    <n v="62"/>
    <n v="0.24390243902439024"/>
    <n v="20"/>
  </r>
  <r>
    <x v="1"/>
    <s v="Produce"/>
    <s v="Carrots"/>
    <s v="lb"/>
    <n v="0.35"/>
    <n v="0.36749999999999999"/>
    <n v="2.0099999999999998"/>
    <n v="0.7034999999999999"/>
    <n v="97"/>
    <n v="8"/>
    <n v="20"/>
    <n v="0.79381443298969068"/>
    <n v="77"/>
  </r>
  <r>
    <x v="1"/>
    <s v="Produce"/>
    <s v="Broccoli"/>
    <s v="lb"/>
    <n v="0.9"/>
    <n v="0.94500000000000006"/>
    <n v="2.02"/>
    <n v="1.8180000000000001"/>
    <n v="111"/>
    <n v="0"/>
    <n v="29"/>
    <n v="0.73873873873873874"/>
    <n v="82"/>
  </r>
  <r>
    <x v="1"/>
    <s v="Produce"/>
    <s v="Lettuce (Romaine)"/>
    <s v="each"/>
    <n v="1"/>
    <n v="1.05"/>
    <n v="1.96"/>
    <n v="1.96"/>
    <n v="86"/>
    <n v="0"/>
    <n v="12"/>
    <n v="0.86046511627906974"/>
    <n v="74"/>
  </r>
  <r>
    <x v="1"/>
    <s v="Produce"/>
    <s v="Spinach (bagged)"/>
    <s v="lb"/>
    <n v="2.56"/>
    <n v="2.6880000000000002"/>
    <n v="2.06"/>
    <n v="5.2736000000000001"/>
    <n v="148"/>
    <n v="4"/>
    <n v="3"/>
    <n v="0.97972972972972971"/>
    <n v="145"/>
  </r>
  <r>
    <x v="1"/>
    <s v="Produce"/>
    <s v="Bell Peppers (Green)"/>
    <s v="lb"/>
    <n v="0.75"/>
    <n v="0.78750000000000009"/>
    <n v="2.0700000000000003"/>
    <n v="1.5525000000000002"/>
    <n v="153"/>
    <n v="0"/>
    <n v="101"/>
    <n v="0.33986928104575165"/>
    <n v="52"/>
  </r>
  <r>
    <x v="1"/>
    <s v="Produce"/>
    <s v="Cucumbers"/>
    <s v="each"/>
    <n v="0.4"/>
    <n v="0.42000000000000004"/>
    <n v="2.02"/>
    <n v="0.80800000000000005"/>
    <n v="84"/>
    <n v="5"/>
    <n v="58"/>
    <n v="0.30952380952380953"/>
    <n v="26"/>
  </r>
  <r>
    <x v="1"/>
    <s v="Produce"/>
    <s v="Grapes (Red Seedless)"/>
    <s v="lb"/>
    <n v="1.4"/>
    <n v="1.47"/>
    <n v="2.0300000000000002"/>
    <n v="2.8420000000000001"/>
    <n v="150"/>
    <n v="1"/>
    <n v="127"/>
    <n v="0.15333333333333332"/>
    <n v="23"/>
  </r>
  <r>
    <x v="1"/>
    <s v="Produce"/>
    <s v="Strawberries (1 lb)"/>
    <s v="lb"/>
    <n v="2"/>
    <n v="2.1"/>
    <n v="2.04"/>
    <n v="4.08"/>
    <n v="180"/>
    <n v="7"/>
    <n v="26"/>
    <n v="0.85555555555555551"/>
    <n v="154"/>
  </r>
  <r>
    <x v="1"/>
    <s v="Produce"/>
    <s v="Blueberries"/>
    <s v="lb"/>
    <n v="0.45"/>
    <n v="0.47250000000000003"/>
    <n v="2.0099999999999998"/>
    <n v="0.90449999999999997"/>
    <n v="50"/>
    <n v="4"/>
    <n v="4"/>
    <n v="0.92"/>
    <n v="46"/>
  </r>
  <r>
    <x v="1"/>
    <s v="Produce"/>
    <s v="Pineapple"/>
    <s v="each"/>
    <n v="1.9"/>
    <n v="1.9949999999999999"/>
    <n v="2.0499999999999998"/>
    <n v="3.8949999999999996"/>
    <n v="54"/>
    <n v="3"/>
    <n v="24"/>
    <n v="0.55555555555555558"/>
    <n v="30"/>
  </r>
  <r>
    <x v="1"/>
    <s v="Produce"/>
    <s v="Watermelon (whole)"/>
    <s v="each"/>
    <n v="4"/>
    <n v="4.2"/>
    <n v="2.09"/>
    <n v="8.36"/>
    <n v="191"/>
    <n v="8"/>
    <n v="130"/>
    <n v="0.3193717277486911"/>
    <n v="61"/>
  </r>
  <r>
    <x v="1"/>
    <s v="Meat"/>
    <s v="Ground Beef (80/20)"/>
    <s v="lb"/>
    <n v="2.85"/>
    <n v="2.9925000000000002"/>
    <n v="2.09"/>
    <n v="5.9565000000000001"/>
    <n v="46"/>
    <n v="1"/>
    <n v="32"/>
    <n v="0.30434782608695654"/>
    <n v="14"/>
  </r>
  <r>
    <x v="1"/>
    <s v="Meat"/>
    <s v="Ground Turkey"/>
    <s v="lb"/>
    <n v="2.5"/>
    <n v="2.625"/>
    <n v="2.08"/>
    <n v="5.2"/>
    <n v="28"/>
    <n v="8"/>
    <n v="3"/>
    <n v="0.8928571428571429"/>
    <n v="25"/>
  </r>
  <r>
    <x v="1"/>
    <s v="Meat"/>
    <s v="Boneless Skinless Chicken Breast"/>
    <s v="lb"/>
    <n v="2.1"/>
    <n v="2.2050000000000001"/>
    <n v="1.95"/>
    <n v="4.0949999999999998"/>
    <n v="98"/>
    <n v="0"/>
    <n v="24"/>
    <n v="0.75510204081632648"/>
    <n v="74"/>
  </r>
  <r>
    <x v="1"/>
    <s v="Meat"/>
    <s v="Chicken Thighs (bone-in)"/>
    <s v="lb"/>
    <n v="1"/>
    <n v="1.05"/>
    <n v="2.0700000000000003"/>
    <n v="2.0700000000000003"/>
    <n v="34"/>
    <n v="2"/>
    <n v="19"/>
    <n v="0.44117647058823528"/>
    <n v="15"/>
  </r>
  <r>
    <x v="1"/>
    <s v="Meat"/>
    <s v="Whole Chicken"/>
    <s v="lb"/>
    <n v="0.9"/>
    <n v="0.94500000000000006"/>
    <n v="1.99"/>
    <n v="1.7909999999999999"/>
    <n v="61"/>
    <n v="1"/>
    <n v="33"/>
    <n v="0.45901639344262296"/>
    <n v="28"/>
  </r>
  <r>
    <x v="1"/>
    <s v="Meat"/>
    <s v="Pork Chops (bone-in)"/>
    <s v="lb"/>
    <n v="1.9"/>
    <n v="1.9949999999999999"/>
    <n v="2.0099999999999998"/>
    <n v="3.8189999999999995"/>
    <n v="96"/>
    <n v="2"/>
    <n v="25"/>
    <n v="0.73958333333333337"/>
    <n v="71"/>
  </r>
  <r>
    <x v="1"/>
    <s v="Meat"/>
    <s v="Pork Shoulder (Boston Butt)"/>
    <s v="lb"/>
    <n v="1.3"/>
    <n v="1.3650000000000002"/>
    <n v="2.0300000000000002"/>
    <n v="2.6390000000000002"/>
    <n v="70"/>
    <n v="0"/>
    <n v="4"/>
    <n v="0.94285714285714284"/>
    <n v="66"/>
  </r>
  <r>
    <x v="1"/>
    <s v="Meat"/>
    <s v="Bacon (Regular Cut)"/>
    <s v="lb"/>
    <n v="4"/>
    <n v="4.2"/>
    <n v="2.1"/>
    <n v="8.4"/>
    <n v="82"/>
    <n v="5"/>
    <n v="60"/>
    <n v="0.26829268292682928"/>
    <n v="22"/>
  </r>
  <r>
    <x v="1"/>
    <s v="Meat"/>
    <s v="Breakfast Sausage (bulk)"/>
    <s v="lb"/>
    <n v="2.2000000000000002"/>
    <n v="2.3100000000000005"/>
    <n v="1.97"/>
    <n v="4.3340000000000005"/>
    <n v="71"/>
    <n v="5"/>
    <n v="8"/>
    <n v="0.88732394366197187"/>
    <n v="63"/>
  </r>
  <r>
    <x v="1"/>
    <s v="Meat"/>
    <s v="Italian Sausage (links)"/>
    <s v="lb"/>
    <n v="2.75"/>
    <n v="2.8875000000000002"/>
    <n v="1.97"/>
    <n v="5.4174999999999995"/>
    <n v="23"/>
    <n v="8"/>
    <n v="3"/>
    <n v="0.86956521739130432"/>
    <n v="20"/>
  </r>
  <r>
    <x v="1"/>
    <s v="Meat"/>
    <s v="Beef Chuck Roast"/>
    <s v="lb"/>
    <n v="3.5"/>
    <n v="3.6750000000000003"/>
    <n v="1.97"/>
    <n v="6.8949999999999996"/>
    <n v="42"/>
    <n v="0"/>
    <n v="37"/>
    <n v="0.11904761904761904"/>
    <n v="5"/>
  </r>
  <r>
    <x v="1"/>
    <s v="Meat"/>
    <s v="Beef Ribeye Steak (Boneless)"/>
    <s v="lb"/>
    <n v="8"/>
    <n v="8.4"/>
    <n v="1.98"/>
    <n v="15.84"/>
    <n v="34"/>
    <n v="3"/>
    <n v="17"/>
    <n v="0.5"/>
    <n v="17"/>
  </r>
  <r>
    <x v="1"/>
    <s v="Meat"/>
    <s v="New York Strip Steak"/>
    <s v="lb"/>
    <n v="7"/>
    <n v="7.3500000000000005"/>
    <n v="2.0700000000000003"/>
    <n v="14.490000000000002"/>
    <n v="62"/>
    <n v="2"/>
    <n v="5"/>
    <n v="0.91935483870967738"/>
    <n v="57"/>
  </r>
  <r>
    <x v="1"/>
    <s v="Meat"/>
    <s v="Chicken Wings"/>
    <s v="lb"/>
    <n v="1.8"/>
    <n v="1.8900000000000001"/>
    <n v="1.96"/>
    <n v="3.528"/>
    <n v="48"/>
    <n v="1"/>
    <n v="18"/>
    <n v="0.625"/>
    <n v="30"/>
  </r>
  <r>
    <x v="1"/>
    <s v="Meat"/>
    <s v="Lamb Chops"/>
    <s v="lb"/>
    <n v="9"/>
    <n v="9.4500000000000011"/>
    <n v="1.95"/>
    <n v="17.55"/>
    <n v="55"/>
    <n v="1"/>
    <n v="43"/>
    <n v="0.21818181818181817"/>
    <n v="12"/>
  </r>
  <r>
    <x v="1"/>
    <s v="Meat"/>
    <s v="Turkey (whole, frozen)"/>
    <s v="lb"/>
    <n v="0.95"/>
    <n v="0.99749999999999994"/>
    <n v="2.0700000000000003"/>
    <n v="1.9665000000000001"/>
    <n v="32"/>
    <n v="1"/>
    <n v="24"/>
    <n v="0.25"/>
    <n v="8"/>
  </r>
  <r>
    <x v="1"/>
    <s v="Meat"/>
    <s v="Ham (bone-in, smoked)"/>
    <s v="lb"/>
    <n v="1.85"/>
    <n v="1.9425000000000001"/>
    <n v="2.0099999999999998"/>
    <n v="3.7184999999999997"/>
    <n v="51"/>
    <n v="4"/>
    <n v="10"/>
    <n v="0.80392156862745101"/>
    <n v="41"/>
  </r>
  <r>
    <x v="1"/>
    <s v="Meat"/>
    <s v="Deli Turkey Breast (sliced)"/>
    <s v="lb"/>
    <n v="5.5"/>
    <n v="5.7750000000000004"/>
    <n v="1.98"/>
    <n v="10.89"/>
    <n v="90"/>
    <n v="2"/>
    <n v="65"/>
    <n v="0.27777777777777779"/>
    <n v="25"/>
  </r>
  <r>
    <x v="1"/>
    <s v="Meat"/>
    <s v="Hot Dogs (beef, standard pack)"/>
    <s v="lb"/>
    <n v="1.9"/>
    <n v="1.9949999999999999"/>
    <n v="2.02"/>
    <n v="3.8379999999999996"/>
    <n v="78"/>
    <n v="2"/>
    <n v="46"/>
    <n v="0.41025641025641024"/>
    <n v="32"/>
  </r>
  <r>
    <x v="1"/>
    <s v="Meat"/>
    <s v="Meatballs (pre-cooked)"/>
    <s v="lb"/>
    <n v="2.75"/>
    <n v="2.8875000000000002"/>
    <n v="2.02"/>
    <n v="5.5549999999999997"/>
    <n v="47"/>
    <n v="0"/>
    <n v="43"/>
    <n v="8.5106382978723402E-2"/>
    <n v="4"/>
  </r>
  <r>
    <x v="1"/>
    <s v="Frozen"/>
    <s v="Frozen Pizza (12”)"/>
    <s v="each"/>
    <n v="3.25"/>
    <n v="3.4125000000000001"/>
    <n v="2.04"/>
    <n v="6.63"/>
    <n v="115"/>
    <n v="0"/>
    <n v="107"/>
    <n v="6.9565217391304349E-2"/>
    <n v="8"/>
  </r>
  <r>
    <x v="1"/>
    <s v="Frozen"/>
    <s v="Frozen Mixed Vegetables (16 oz)"/>
    <s v="each"/>
    <n v="0.9"/>
    <n v="0.94500000000000006"/>
    <n v="2.0099999999999998"/>
    <n v="1.8089999999999999"/>
    <n v="91"/>
    <n v="0"/>
    <n v="72"/>
    <n v="0.2087912087912088"/>
    <n v="19"/>
  </r>
  <r>
    <x v="1"/>
    <s v="Frozen"/>
    <s v="Frozen French Fries (32 oz)"/>
    <s v="each"/>
    <n v="1.6"/>
    <n v="1.6800000000000002"/>
    <n v="2"/>
    <n v="3.2"/>
    <n v="94"/>
    <n v="8"/>
    <n v="84"/>
    <n v="0.10638297872340426"/>
    <n v="10"/>
  </r>
  <r>
    <x v="1"/>
    <s v="Frozen"/>
    <s v="Frozen Broccoli Florets (16 oz)"/>
    <s v="each"/>
    <n v="1.1000000000000001"/>
    <n v="1.1550000000000002"/>
    <n v="1.99"/>
    <n v="2.1890000000000001"/>
    <n v="111"/>
    <n v="0"/>
    <n v="87"/>
    <n v="0.21621621621621623"/>
    <n v="24"/>
  </r>
  <r>
    <x v="1"/>
    <s v="Frozen"/>
    <s v="Frozen Corn (16 oz)"/>
    <s v="each"/>
    <n v="0.95"/>
    <n v="0.99749999999999994"/>
    <n v="2.0499999999999998"/>
    <n v="1.9474999999999998"/>
    <n v="106"/>
    <n v="0"/>
    <n v="97"/>
    <n v="8.4905660377358486E-2"/>
    <n v="9"/>
  </r>
  <r>
    <x v="1"/>
    <s v="Frozen"/>
    <s v="Ice Cream (1.5 qt)"/>
    <s v="each"/>
    <n v="2.75"/>
    <n v="2.8875000000000002"/>
    <n v="2.0700000000000003"/>
    <n v="5.6925000000000008"/>
    <n v="55"/>
    <n v="1"/>
    <n v="21"/>
    <n v="0.61818181818181817"/>
    <n v="34"/>
  </r>
  <r>
    <x v="1"/>
    <s v="Frozen"/>
    <s v="Ice Cream Sandwiches (box of 6)"/>
    <s v="each"/>
    <n v="1.9"/>
    <n v="1.9949999999999999"/>
    <n v="1.95"/>
    <n v="3.7049999999999996"/>
    <n v="77"/>
    <n v="5"/>
    <n v="2"/>
    <n v="0.97402597402597402"/>
    <n v="75"/>
  </r>
  <r>
    <x v="1"/>
    <s v="Frozen"/>
    <s v="Frozen Chicken Nuggets (32 oz)"/>
    <s v="each"/>
    <n v="4"/>
    <n v="4.2"/>
    <n v="2.06"/>
    <n v="8.24"/>
    <n v="77"/>
    <n v="8"/>
    <n v="29"/>
    <n v="0.62337662337662336"/>
    <n v="48"/>
  </r>
  <r>
    <x v="1"/>
    <s v="Frozen"/>
    <s v="Frozen Burritos (individual)"/>
    <s v="each"/>
    <n v="0.8"/>
    <n v="0.84000000000000008"/>
    <n v="2.04"/>
    <n v="1.6320000000000001"/>
    <n v="157"/>
    <n v="5"/>
    <n v="20"/>
    <n v="0.87261146496815289"/>
    <n v="137"/>
  </r>
  <r>
    <x v="1"/>
    <s v="Frozen"/>
    <s v="Frozen Meatballs (26 oz bag)"/>
    <s v="each"/>
    <n v="4.25"/>
    <n v="4.4625000000000004"/>
    <n v="2.02"/>
    <n v="8.5850000000000009"/>
    <n v="93"/>
    <n v="3"/>
    <n v="27"/>
    <n v="0.70967741935483875"/>
    <n v="66"/>
  </r>
  <r>
    <x v="1"/>
    <s v="Frozen"/>
    <s v="Frozen Waffles (box of 10)"/>
    <s v="each"/>
    <n v="1.6"/>
    <n v="1.6800000000000002"/>
    <n v="2.04"/>
    <n v="3.2640000000000002"/>
    <n v="133"/>
    <n v="2"/>
    <n v="33"/>
    <n v="0.75187969924812026"/>
    <n v="100"/>
  </r>
  <r>
    <x v="1"/>
    <s v="Frozen"/>
    <s v="Frozen Pancakes (box of 12)"/>
    <s v="each"/>
    <n v="1.65"/>
    <n v="1.7324999999999999"/>
    <n v="1.97"/>
    <n v="3.2504999999999997"/>
    <n v="79"/>
    <n v="0"/>
    <n v="40"/>
    <n v="0.49367088607594939"/>
    <n v="39"/>
  </r>
  <r>
    <x v="1"/>
    <s v="Frozen"/>
    <s v="TV Dinner / Meal (10–12 oz)"/>
    <s v="each"/>
    <n v="2.2000000000000002"/>
    <n v="2.3100000000000005"/>
    <n v="2.08"/>
    <n v="4.5760000000000005"/>
    <n v="111"/>
    <n v="8"/>
    <n v="50"/>
    <n v="0.5495495495495496"/>
    <n v="61"/>
  </r>
  <r>
    <x v="1"/>
    <s v="Frozen"/>
    <s v="Frozen Fish Fillets (breaded, 24 oz)"/>
    <s v="each"/>
    <n v="4"/>
    <n v="4.2"/>
    <n v="2.0300000000000002"/>
    <n v="8.120000000000001"/>
    <n v="124"/>
    <n v="4"/>
    <n v="46"/>
    <n v="0.62903225806451613"/>
    <n v="78"/>
  </r>
  <r>
    <x v="1"/>
    <s v="Frozen"/>
    <s v="Frozen Shrimp (raw, peeled, 1 lb)"/>
    <s v="each"/>
    <n v="5.25"/>
    <n v="5.5125000000000002"/>
    <n v="2.1"/>
    <n v="11.025"/>
    <n v="141"/>
    <n v="3"/>
    <n v="81"/>
    <n v="0.42553191489361702"/>
    <n v="60"/>
  </r>
  <r>
    <x v="1"/>
    <s v="Frozen"/>
    <s v="Frozen Fruit (Strawberries, 16 oz)"/>
    <s v="each"/>
    <n v="2"/>
    <n v="2.1"/>
    <n v="2.1"/>
    <n v="4.2"/>
    <n v="138"/>
    <n v="4"/>
    <n v="57"/>
    <n v="0.58695652173913049"/>
    <n v="81"/>
  </r>
  <r>
    <x v="1"/>
    <s v="Frozen"/>
    <s v="Frozen Pie (apple, 8”)"/>
    <s v="each"/>
    <n v="2.8"/>
    <n v="2.94"/>
    <n v="1.99"/>
    <n v="5.5720000000000001"/>
    <n v="152"/>
    <n v="4"/>
    <n v="74"/>
    <n v="0.51315789473684215"/>
    <n v="78"/>
  </r>
  <r>
    <x v="1"/>
    <s v="Frozen"/>
    <s v="Frozen Garlic Bread (16 oz)"/>
    <s v="each"/>
    <n v="1.35"/>
    <n v="1.4175000000000002"/>
    <n v="2.02"/>
    <n v="2.7270000000000003"/>
    <n v="111"/>
    <n v="3"/>
    <n v="56"/>
    <n v="0.49549549549549549"/>
    <n v="55"/>
  </r>
  <r>
    <x v="1"/>
    <s v="Frozen"/>
    <s v="Frozen Breakfast Sandwich (2-pack)"/>
    <s v="each"/>
    <n v="2.25"/>
    <n v="2.3625000000000003"/>
    <n v="2.08"/>
    <n v="4.68"/>
    <n v="146"/>
    <n v="9"/>
    <n v="22"/>
    <n v="0.84931506849315064"/>
    <n v="124"/>
  </r>
  <r>
    <x v="1"/>
    <s v="Frozen"/>
    <s v="Frozen Veggie Burgers (4-pack)"/>
    <s v="each"/>
    <n v="2.8"/>
    <n v="2.94"/>
    <n v="2.0499999999999998"/>
    <n v="5.7399999999999993"/>
    <n v="50"/>
    <n v="7"/>
    <n v="21"/>
    <n v="0.57999999999999996"/>
    <n v="29"/>
  </r>
  <r>
    <x v="1"/>
    <s v="Deli"/>
    <s v="Sliced Turkey Breast"/>
    <s v="lb"/>
    <n v="5.25"/>
    <n v="5.5125000000000002"/>
    <n v="1.98"/>
    <n v="10.395"/>
    <n v="56"/>
    <n v="3"/>
    <n v="16"/>
    <n v="0.7142857142857143"/>
    <n v="40"/>
  </r>
  <r>
    <x v="1"/>
    <s v="Deli"/>
    <s v="Sliced Ham (Honey or Black Forest)"/>
    <s v="lb"/>
    <n v="4.75"/>
    <n v="4.9874999999999998"/>
    <n v="2.0099999999999998"/>
    <n v="9.5474999999999994"/>
    <n v="91"/>
    <n v="3"/>
    <n v="68"/>
    <n v="0.25274725274725274"/>
    <n v="23"/>
  </r>
  <r>
    <x v="1"/>
    <s v="Deli"/>
    <s v="Roast Beef (sliced)"/>
    <s v="lb"/>
    <n v="6.5"/>
    <n v="6.8250000000000002"/>
    <n v="1.96"/>
    <n v="12.74"/>
    <n v="106"/>
    <n v="0"/>
    <n v="10"/>
    <n v="0.90566037735849059"/>
    <n v="96"/>
  </r>
  <r>
    <x v="1"/>
    <s v="Deli"/>
    <s v="Genoa Salami"/>
    <s v="lb"/>
    <n v="5.75"/>
    <n v="6.0375000000000005"/>
    <n v="1.95"/>
    <n v="11.2125"/>
    <n v="32"/>
    <n v="3"/>
    <n v="29"/>
    <n v="9.375E-2"/>
    <n v="3"/>
  </r>
  <r>
    <x v="1"/>
    <s v="Deli"/>
    <s v="Hard Salami"/>
    <s v="lb"/>
    <n v="5.5"/>
    <n v="5.7750000000000004"/>
    <n v="2.0300000000000002"/>
    <n v="11.165000000000001"/>
    <n v="99"/>
    <n v="0"/>
    <n v="14"/>
    <n v="0.85858585858585856"/>
    <n v="85"/>
  </r>
  <r>
    <x v="1"/>
    <s v="Deli"/>
    <s v="Pepperoni (sliced)"/>
    <s v="lb"/>
    <n v="4.25"/>
    <n v="4.4625000000000004"/>
    <n v="2.1"/>
    <n v="8.9250000000000007"/>
    <n v="101"/>
    <n v="2"/>
    <n v="90"/>
    <n v="0.10891089108910891"/>
    <n v="11"/>
  </r>
  <r>
    <x v="1"/>
    <s v="Deli"/>
    <s v="Chicken Breast (sliced)"/>
    <s v="lb"/>
    <n v="5.0999999999999996"/>
    <n v="5.3549999999999995"/>
    <n v="2.0499999999999998"/>
    <n v="10.454999999999998"/>
    <n v="56"/>
    <n v="10"/>
    <n v="34"/>
    <n v="0.39285714285714285"/>
    <n v="22"/>
  </r>
  <r>
    <x v="1"/>
    <s v="Deli"/>
    <s v="Bologna"/>
    <s v="lb"/>
    <n v="2.8"/>
    <n v="2.94"/>
    <n v="1.96"/>
    <n v="5.4879999999999995"/>
    <n v="38"/>
    <n v="2"/>
    <n v="32"/>
    <n v="0.15789473684210525"/>
    <n v="6"/>
  </r>
  <r>
    <x v="1"/>
    <s v="Deli"/>
    <s v="Mortadella"/>
    <s v="lb"/>
    <n v="4"/>
    <n v="4.2"/>
    <n v="1.97"/>
    <n v="7.88"/>
    <n v="91"/>
    <n v="2"/>
    <n v="83"/>
    <n v="8.7912087912087919E-2"/>
    <n v="8"/>
  </r>
  <r>
    <x v="1"/>
    <s v="Deli"/>
    <s v="Prosciutto"/>
    <s v="lb"/>
    <n v="9"/>
    <n v="9.4500000000000011"/>
    <n v="2.02"/>
    <n v="18.18"/>
    <n v="66"/>
    <n v="1"/>
    <n v="15"/>
    <n v="0.77272727272727271"/>
    <n v="51"/>
  </r>
  <r>
    <x v="1"/>
    <s v="Deli"/>
    <s v="American Cheese (processed)"/>
    <s v="lb"/>
    <n v="2.75"/>
    <n v="2.8875000000000002"/>
    <n v="1.97"/>
    <n v="5.4174999999999995"/>
    <n v="80"/>
    <n v="0"/>
    <n v="33"/>
    <n v="0.58750000000000002"/>
    <n v="47"/>
  </r>
  <r>
    <x v="1"/>
    <s v="Deli"/>
    <s v="Cheddar Cheese (sharp)"/>
    <s v="lb"/>
    <n v="3.9"/>
    <n v="4.0949999999999998"/>
    <n v="2.0499999999999998"/>
    <n v="7.9949999999999992"/>
    <n v="73"/>
    <n v="4"/>
    <n v="65"/>
    <n v="0.1095890410958904"/>
    <n v="8"/>
  </r>
  <r>
    <x v="1"/>
    <s v="Deli"/>
    <s v="Swiss Cheese"/>
    <s v="lb"/>
    <n v="4.3"/>
    <n v="4.5149999999999997"/>
    <n v="2.04"/>
    <n v="8.7720000000000002"/>
    <n v="53"/>
    <n v="0"/>
    <n v="34"/>
    <n v="0.35849056603773582"/>
    <n v="19"/>
  </r>
  <r>
    <x v="1"/>
    <s v="Deli"/>
    <s v="Provolone Cheese"/>
    <s v="lb"/>
    <n v="4"/>
    <n v="4.2"/>
    <n v="2.1"/>
    <n v="8.4"/>
    <n v="108"/>
    <n v="0"/>
    <n v="39"/>
    <n v="0.63888888888888884"/>
    <n v="69"/>
  </r>
  <r>
    <x v="1"/>
    <s v="Deli"/>
    <s v="Mozzarella (fresh, sliced)"/>
    <s v="lb"/>
    <n v="4.75"/>
    <n v="4.9874999999999998"/>
    <n v="2.08"/>
    <n v="9.8800000000000008"/>
    <n v="88"/>
    <n v="1"/>
    <n v="27"/>
    <n v="0.69318181818181823"/>
    <n v="61"/>
  </r>
  <r>
    <x v="1"/>
    <s v="Deli"/>
    <s v="Coleslaw (prepared)"/>
    <s v="lb"/>
    <n v="2.25"/>
    <n v="2.3625000000000003"/>
    <n v="2"/>
    <n v="4.5"/>
    <n v="61"/>
    <n v="5"/>
    <n v="46"/>
    <n v="0.24590163934426229"/>
    <n v="15"/>
  </r>
  <r>
    <x v="1"/>
    <s v="Deli"/>
    <s v="Potato Salad (prepared)"/>
    <s v="lb"/>
    <n v="2.1"/>
    <n v="2.2050000000000001"/>
    <n v="1.97"/>
    <n v="4.1370000000000005"/>
    <n v="117"/>
    <n v="4"/>
    <n v="38"/>
    <n v="0.67521367521367526"/>
    <n v="79"/>
  </r>
  <r>
    <x v="1"/>
    <s v="Deli"/>
    <s v="Macaroni Salad"/>
    <s v="lb"/>
    <n v="2"/>
    <n v="2.1"/>
    <n v="2.0499999999999998"/>
    <n v="4.0999999999999996"/>
    <n v="81"/>
    <n v="0"/>
    <n v="69"/>
    <n v="0.14814814814814814"/>
    <n v="12"/>
  </r>
  <r>
    <x v="1"/>
    <s v="Deli"/>
    <s v="Rotisserie Chicken (whole)"/>
    <s v="each"/>
    <n v="4.5"/>
    <n v="4.7250000000000005"/>
    <n v="2.0499999999999998"/>
    <n v="9.2249999999999996"/>
    <n v="91"/>
    <n v="2"/>
    <n v="72"/>
    <n v="0.2087912087912088"/>
    <n v="19"/>
  </r>
  <r>
    <x v="1"/>
    <s v="Deli"/>
    <s v="Deli Sandwich (made to order)"/>
    <s v="each"/>
    <n v="3.75"/>
    <n v="3.9375"/>
    <n v="2.06"/>
    <n v="7.7250000000000005"/>
    <n v="87"/>
    <n v="2"/>
    <n v="19"/>
    <n v="0.7816091954022989"/>
    <n v="68"/>
  </r>
  <r>
    <x v="1"/>
    <s v="Dairy"/>
    <s v="Whole Milk (1 gallon)"/>
    <s v="each"/>
    <n v="2"/>
    <n v="2.1"/>
    <n v="1.95"/>
    <n v="3.9"/>
    <n v="111"/>
    <n v="3"/>
    <n v="0"/>
    <n v="1"/>
    <n v="111"/>
  </r>
  <r>
    <x v="1"/>
    <s v="Dairy"/>
    <s v="2% Milk (1 gallon)"/>
    <s v="each"/>
    <n v="1.95"/>
    <n v="2.0474999999999999"/>
    <n v="1.98"/>
    <n v="3.8609999999999998"/>
    <n v="71"/>
    <n v="3"/>
    <n v="62"/>
    <n v="0.12676056338028169"/>
    <n v="9"/>
  </r>
  <r>
    <x v="1"/>
    <s v="Dairy"/>
    <s v="Skim Milk (1 gallon)"/>
    <s v="each"/>
    <n v="1.9"/>
    <n v="1.9949999999999999"/>
    <n v="2.08"/>
    <n v="3.952"/>
    <n v="98"/>
    <n v="1"/>
    <n v="66"/>
    <n v="0.32653061224489793"/>
    <n v="32"/>
  </r>
  <r>
    <x v="1"/>
    <s v="Dairy"/>
    <s v="Organic Milk (1/2 gallon)"/>
    <s v="each"/>
    <n v="3.1"/>
    <n v="3.2550000000000003"/>
    <n v="1.98"/>
    <n v="6.1379999999999999"/>
    <n v="61"/>
    <n v="2"/>
    <n v="3"/>
    <n v="0.95081967213114749"/>
    <n v="58"/>
  </r>
  <r>
    <x v="1"/>
    <s v="Dairy"/>
    <s v="Heavy Whipping Cream (pint)"/>
    <s v="each"/>
    <n v="2"/>
    <n v="2.1"/>
    <n v="1.99"/>
    <n v="3.98"/>
    <n v="62"/>
    <n v="2"/>
    <n v="57"/>
    <n v="8.0645161290322578E-2"/>
    <n v="5"/>
  </r>
  <r>
    <x v="1"/>
    <s v="Dairy"/>
    <s v="Half &amp; Half (quart)"/>
    <s v="each"/>
    <n v="1.7"/>
    <n v="1.7849999999999999"/>
    <n v="1.96"/>
    <n v="3.3319999999999999"/>
    <n v="172"/>
    <n v="6"/>
    <n v="152"/>
    <n v="0.11627906976744186"/>
    <n v="20"/>
  </r>
  <r>
    <x v="1"/>
    <s v="Dairy"/>
    <s v="Buttermilk (quart)"/>
    <s v="each"/>
    <n v="1.5"/>
    <n v="1.5750000000000002"/>
    <n v="2.0099999999999998"/>
    <n v="3.0149999999999997"/>
    <n v="160"/>
    <n v="2"/>
    <n v="46"/>
    <n v="0.71250000000000002"/>
    <n v="114"/>
  </r>
  <r>
    <x v="1"/>
    <s v="Dairy"/>
    <s v="Butter (salted, 1 lb)"/>
    <s v="each"/>
    <n v="2.65"/>
    <n v="2.7825000000000002"/>
    <n v="2.04"/>
    <n v="5.4059999999999997"/>
    <n v="172"/>
    <n v="1"/>
    <n v="37"/>
    <n v="0.78488372093023251"/>
    <n v="135"/>
  </r>
  <r>
    <x v="1"/>
    <s v="Dairy"/>
    <s v="Margarine (1 lb)"/>
    <s v="each"/>
    <n v="1.2"/>
    <n v="1.26"/>
    <n v="2.0099999999999998"/>
    <n v="2.4119999999999995"/>
    <n v="115"/>
    <n v="1"/>
    <n v="14"/>
    <n v="0.87826086956521743"/>
    <n v="101"/>
  </r>
  <r>
    <x v="1"/>
    <s v="Dairy"/>
    <s v="Sour Cream (16 oz)"/>
    <s v="each"/>
    <n v="1.4"/>
    <n v="1.47"/>
    <n v="1.97"/>
    <n v="2.758"/>
    <n v="140"/>
    <n v="2"/>
    <n v="20"/>
    <n v="0.8571428571428571"/>
    <n v="120"/>
  </r>
  <r>
    <x v="1"/>
    <s v="Dairy"/>
    <s v="Cottage Cheese (16 oz)"/>
    <s v="each"/>
    <n v="1.6"/>
    <n v="1.6800000000000002"/>
    <n v="1.98"/>
    <n v="3.1680000000000001"/>
    <n v="118"/>
    <n v="5"/>
    <n v="98"/>
    <n v="0.16949152542372881"/>
    <n v="20"/>
  </r>
  <r>
    <x v="1"/>
    <s v="Dairy"/>
    <s v="Greek Yogurt (single 5.3 oz cup)"/>
    <s v="each"/>
    <n v="0.7"/>
    <n v="0.73499999999999999"/>
    <n v="2.0499999999999998"/>
    <n v="1.4349999999999998"/>
    <n v="172"/>
    <n v="2"/>
    <n v="56"/>
    <n v="0.67441860465116277"/>
    <n v="116"/>
  </r>
  <r>
    <x v="1"/>
    <s v="Dairy"/>
    <s v="Yogurt (regular, 6 oz)"/>
    <s v="each"/>
    <n v="0.55000000000000004"/>
    <n v="0.57750000000000012"/>
    <n v="2.0300000000000002"/>
    <n v="1.1165000000000003"/>
    <n v="61"/>
    <n v="3"/>
    <n v="52"/>
    <n v="0.14754098360655737"/>
    <n v="9"/>
  </r>
  <r>
    <x v="1"/>
    <s v="Dairy"/>
    <s v="Cream Cheese (8 oz block)"/>
    <s v="each"/>
    <n v="1.4"/>
    <n v="1.47"/>
    <n v="2.09"/>
    <n v="2.9259999999999997"/>
    <n v="61"/>
    <n v="4"/>
    <n v="52"/>
    <n v="0.14754098360655737"/>
    <n v="9"/>
  </r>
  <r>
    <x v="1"/>
    <s v="Dairy"/>
    <s v="Shredded Cheese (8 oz bag)"/>
    <s v="each"/>
    <n v="2"/>
    <n v="2.1"/>
    <n v="2.0700000000000003"/>
    <n v="4.1400000000000006"/>
    <n v="151"/>
    <n v="2"/>
    <n v="45"/>
    <n v="0.70198675496688745"/>
    <n v="106"/>
  </r>
  <r>
    <x v="1"/>
    <s v="Dairy"/>
    <s v="Sliced Cheese (8 oz)"/>
    <s v="each"/>
    <n v="2.25"/>
    <n v="2.3625000000000003"/>
    <n v="1.96"/>
    <n v="4.41"/>
    <n v="113"/>
    <n v="1"/>
    <n v="13"/>
    <n v="0.88495575221238942"/>
    <n v="100"/>
  </r>
  <r>
    <x v="1"/>
    <s v="Dairy"/>
    <s v="Cheddar Cheese Block (1 lb)"/>
    <s v="each"/>
    <n v="3.4"/>
    <n v="3.57"/>
    <n v="2.0499999999999998"/>
    <n v="6.9699999999999989"/>
    <n v="146"/>
    <n v="6"/>
    <n v="38"/>
    <n v="0.73972602739726023"/>
    <n v="108"/>
  </r>
  <r>
    <x v="1"/>
    <s v="Dairy"/>
    <s v="Mozzarella (low moisture, 1 lb)"/>
    <s v="each"/>
    <n v="3.1"/>
    <n v="3.2550000000000003"/>
    <n v="2.09"/>
    <n v="6.4790000000000001"/>
    <n v="160"/>
    <n v="1"/>
    <n v="136"/>
    <n v="0.15"/>
    <n v="24"/>
  </r>
  <r>
    <x v="1"/>
    <s v="Dairy"/>
    <s v="Eggs (dozen, large, Grade A)"/>
    <s v="each"/>
    <n v="1.5"/>
    <n v="1.5750000000000002"/>
    <n v="1.97"/>
    <n v="2.9550000000000001"/>
    <n v="155"/>
    <n v="2"/>
    <n v="98"/>
    <n v="0.36774193548387096"/>
    <n v="57"/>
  </r>
  <r>
    <x v="1"/>
    <s v="Dairy"/>
    <s v="Egg Substitute (16 oz carton)"/>
    <s v="each"/>
    <n v="1.9"/>
    <n v="1.9949999999999999"/>
    <n v="2.0700000000000003"/>
    <n v="3.9330000000000003"/>
    <n v="156"/>
    <n v="10"/>
    <n v="76"/>
    <n v="0.51282051282051277"/>
    <n v="80"/>
  </r>
  <r>
    <x v="1"/>
    <s v="Bakery"/>
    <s v="White Sandwich Bread (loaf)"/>
    <s v="each"/>
    <n v="1.3"/>
    <n v="1.3650000000000002"/>
    <n v="2.09"/>
    <n v="2.7170000000000001"/>
    <n v="40"/>
    <n v="0"/>
    <n v="14"/>
    <n v="0.65"/>
    <n v="26"/>
  </r>
  <r>
    <x v="1"/>
    <s v="Bakery"/>
    <s v="Whole Wheat Bread (loaf)"/>
    <s v="each"/>
    <n v="1.6"/>
    <n v="1.6800000000000002"/>
    <n v="2"/>
    <n v="3.2"/>
    <n v="58"/>
    <n v="0"/>
    <n v="17"/>
    <n v="0.7068965517241379"/>
    <n v="41"/>
  </r>
  <r>
    <x v="1"/>
    <s v="Bakery"/>
    <s v="French Baguette"/>
    <s v="each"/>
    <n v="1.35"/>
    <n v="1.4175000000000002"/>
    <n v="2.0300000000000002"/>
    <n v="2.7405000000000004"/>
    <n v="41"/>
    <n v="1"/>
    <n v="32"/>
    <n v="0.21951219512195122"/>
    <n v="9"/>
  </r>
  <r>
    <x v="1"/>
    <s v="Bakery"/>
    <s v="Italian Bread (loaf)"/>
    <s v="each"/>
    <n v="1.6"/>
    <n v="1.6800000000000002"/>
    <n v="2.04"/>
    <n v="3.2640000000000002"/>
    <n v="92"/>
    <n v="7"/>
    <n v="5"/>
    <n v="0.94565217391304346"/>
    <n v="87"/>
  </r>
  <r>
    <x v="1"/>
    <s v="Bakery"/>
    <s v="Dinner Rolls (12-pack)"/>
    <s v="each"/>
    <n v="2.1"/>
    <n v="2.2050000000000001"/>
    <n v="1.97"/>
    <n v="4.1370000000000005"/>
    <n v="83"/>
    <n v="0"/>
    <n v="22"/>
    <n v="0.73493975903614461"/>
    <n v="61"/>
  </r>
  <r>
    <x v="1"/>
    <s v="Bakery"/>
    <s v="Kaiser Rolls (6-pack)"/>
    <s v="each"/>
    <n v="1.85"/>
    <n v="1.9425000000000001"/>
    <n v="2.08"/>
    <n v="3.8480000000000003"/>
    <n v="129"/>
    <n v="0"/>
    <n v="90"/>
    <n v="0.30232558139534882"/>
    <n v="39"/>
  </r>
  <r>
    <x v="1"/>
    <s v="Bakery"/>
    <s v="Hamburger Buns (8-pack)"/>
    <s v="each"/>
    <n v="1.55"/>
    <n v="1.6275000000000002"/>
    <n v="2.08"/>
    <n v="3.2240000000000002"/>
    <n v="71"/>
    <n v="0"/>
    <n v="45"/>
    <n v="0.36619718309859156"/>
    <n v="26"/>
  </r>
  <r>
    <x v="1"/>
    <s v="Bakery"/>
    <s v="Hot Dog Buns (8-pack)"/>
    <s v="each"/>
    <n v="1.55"/>
    <n v="1.6275000000000002"/>
    <n v="2.1"/>
    <n v="3.2550000000000003"/>
    <n v="109"/>
    <n v="0"/>
    <n v="37"/>
    <n v="0.66055045871559637"/>
    <n v="72"/>
  </r>
  <r>
    <x v="1"/>
    <s v="Bakery"/>
    <s v="English Muffins (6-pack)"/>
    <s v="each"/>
    <n v="1.75"/>
    <n v="1.8375000000000001"/>
    <n v="1.98"/>
    <n v="3.4649999999999999"/>
    <n v="71"/>
    <n v="0"/>
    <n v="13"/>
    <n v="0.81690140845070425"/>
    <n v="58"/>
  </r>
  <r>
    <x v="1"/>
    <s v="Bakery"/>
    <s v="Bagels (6-pack)"/>
    <s v="each"/>
    <n v="2.2000000000000002"/>
    <n v="2.3100000000000005"/>
    <n v="2.0499999999999998"/>
    <n v="4.51"/>
    <n v="107"/>
    <n v="2"/>
    <n v="99"/>
    <n v="7.476635514018691E-2"/>
    <n v="8"/>
  </r>
  <r>
    <x v="1"/>
    <s v="Bakery"/>
    <s v="Croissants (4-pack)"/>
    <s v="each"/>
    <n v="2.75"/>
    <n v="2.8875000000000002"/>
    <n v="2.0099999999999998"/>
    <n v="5.5274999999999999"/>
    <n v="94"/>
    <n v="2"/>
    <n v="71"/>
    <n v="0.24468085106382978"/>
    <n v="23"/>
  </r>
  <r>
    <x v="1"/>
    <s v="Bakery"/>
    <s v="Muffins (4-pack, assorted)"/>
    <s v="each"/>
    <n v="2.4"/>
    <n v="2.52"/>
    <n v="1.99"/>
    <n v="4.7759999999999998"/>
    <n v="114"/>
    <n v="1"/>
    <n v="61"/>
    <n v="0.46491228070175439"/>
    <n v="53"/>
  </r>
  <r>
    <x v="1"/>
    <s v="Bakery"/>
    <s v="Donuts (6-pack, glazed)"/>
    <s v="each"/>
    <n v="2.7"/>
    <n v="2.8350000000000004"/>
    <n v="2.06"/>
    <n v="5.5620000000000003"/>
    <n v="95"/>
    <n v="1"/>
    <n v="34"/>
    <n v="0.64210526315789473"/>
    <n v="61"/>
  </r>
  <r>
    <x v="1"/>
    <s v="Bakery"/>
    <s v="Danish Pastries (4-pack)"/>
    <s v="each"/>
    <n v="2.6"/>
    <n v="2.7300000000000004"/>
    <n v="2.0099999999999998"/>
    <n v="5.226"/>
    <n v="56"/>
    <n v="0"/>
    <n v="18"/>
    <n v="0.6785714285714286"/>
    <n v="38"/>
  </r>
  <r>
    <x v="1"/>
    <s v="Bakery"/>
    <s v="Apple Pie (9”)"/>
    <s v="each"/>
    <n v="4"/>
    <n v="4.2"/>
    <n v="2.0700000000000003"/>
    <n v="8.2800000000000011"/>
    <n v="77"/>
    <n v="1"/>
    <n v="29"/>
    <n v="0.62337662337662336"/>
    <n v="48"/>
  </r>
  <r>
    <x v="1"/>
    <s v="Bakery"/>
    <s v="Pumpkin Pie (9”)"/>
    <s v="each"/>
    <n v="4.25"/>
    <n v="4.4625000000000004"/>
    <n v="2.02"/>
    <n v="8.5850000000000009"/>
    <n v="63"/>
    <n v="2"/>
    <n v="13"/>
    <n v="0.79365079365079361"/>
    <n v="50"/>
  </r>
  <r>
    <x v="1"/>
    <s v="Bakery"/>
    <s v="Chocolate Cake (single layer)"/>
    <s v="each"/>
    <n v="5"/>
    <n v="5.25"/>
    <n v="2.08"/>
    <n v="10.4"/>
    <n v="108"/>
    <n v="4"/>
    <n v="83"/>
    <n v="0.23148148148148148"/>
    <n v="25"/>
  </r>
  <r>
    <x v="1"/>
    <s v="Bakery"/>
    <s v="Cupcakes (6-pack)"/>
    <s v="each"/>
    <n v="3"/>
    <n v="3.1500000000000004"/>
    <n v="1.96"/>
    <n v="5.88"/>
    <n v="137"/>
    <n v="0"/>
    <n v="112"/>
    <n v="0.18248175182481752"/>
    <n v="25"/>
  </r>
  <r>
    <x v="1"/>
    <s v="Bakery"/>
    <s v="Brownies (6-pack)"/>
    <s v="each"/>
    <n v="2.4"/>
    <n v="2.52"/>
    <n v="1.98"/>
    <n v="4.7519999999999998"/>
    <n v="109"/>
    <n v="2"/>
    <n v="24"/>
    <n v="0.77981651376146788"/>
    <n v="85"/>
  </r>
  <r>
    <x v="1"/>
    <s v="Bakery"/>
    <s v="Coffee Cake (whole)"/>
    <s v="each"/>
    <n v="3.25"/>
    <n v="3.4125000000000001"/>
    <n v="2.08"/>
    <n v="6.76"/>
    <n v="125"/>
    <n v="1"/>
    <n v="39"/>
    <n v="0.68799999999999994"/>
    <n v="86"/>
  </r>
  <r>
    <x v="2"/>
    <s v="Produce"/>
    <s v="Bananas"/>
    <s v="lb"/>
    <n v="0.35"/>
    <n v="0.36399999999999999"/>
    <n v="1.95"/>
    <n v="0.6825"/>
    <n v="188"/>
    <n v="6"/>
    <n v="87"/>
    <n v="0.53723404255319152"/>
    <n v="101"/>
  </r>
  <r>
    <x v="2"/>
    <s v="Produce"/>
    <s v="Apples (Gala)"/>
    <s v="lb"/>
    <n v="0.85"/>
    <n v="0.88400000000000001"/>
    <n v="2.06"/>
    <n v="1.7509999999999999"/>
    <n v="193"/>
    <n v="4"/>
    <n v="13"/>
    <n v="0.93264248704663211"/>
    <n v="180"/>
  </r>
  <r>
    <x v="2"/>
    <s v="Produce"/>
    <s v="Oranges (Navel)"/>
    <s v="lb"/>
    <n v="0.7"/>
    <n v="0.72799999999999998"/>
    <n v="2.1"/>
    <n v="1.47"/>
    <n v="146"/>
    <n v="2"/>
    <n v="101"/>
    <n v="0.30821917808219179"/>
    <n v="45"/>
  </r>
  <r>
    <x v="2"/>
    <s v="Produce"/>
    <s v="Lemons"/>
    <s v="each"/>
    <n v="0.35"/>
    <n v="0.36399999999999999"/>
    <n v="2.04"/>
    <n v="0.71399999999999997"/>
    <n v="173"/>
    <n v="1"/>
    <n v="149"/>
    <n v="0.13872832369942195"/>
    <n v="24"/>
  </r>
  <r>
    <x v="2"/>
    <s v="Produce"/>
    <s v="Limes"/>
    <s v="each"/>
    <n v="0.2"/>
    <n v="0.20800000000000002"/>
    <n v="2.1"/>
    <n v="0.42000000000000004"/>
    <n v="119"/>
    <n v="7"/>
    <n v="47"/>
    <n v="0.60504201680672265"/>
    <n v="72"/>
  </r>
  <r>
    <x v="2"/>
    <s v="Produce"/>
    <s v="Avocados (Hass)"/>
    <s v="each"/>
    <n v="0.75"/>
    <n v="0.78"/>
    <n v="1.98"/>
    <n v="1.4849999999999999"/>
    <n v="142"/>
    <n v="0"/>
    <n v="82"/>
    <n v="0.42253521126760563"/>
    <n v="60"/>
  </r>
  <r>
    <x v="2"/>
    <s v="Produce"/>
    <s v="Tomatoes (Roma)"/>
    <s v="lb"/>
    <n v="0.6"/>
    <n v="0.624"/>
    <n v="2.08"/>
    <n v="1.248"/>
    <n v="52"/>
    <n v="0"/>
    <n v="45"/>
    <n v="0.13461538461538461"/>
    <n v="7"/>
  </r>
  <r>
    <x v="2"/>
    <s v="Produce"/>
    <s v="Potatoes (Russet)"/>
    <s v="lb"/>
    <n v="0.45"/>
    <n v="0.46800000000000003"/>
    <n v="2.09"/>
    <n v="0.9405"/>
    <n v="197"/>
    <n v="1"/>
    <n v="178"/>
    <n v="9.6446700507614211E-2"/>
    <n v="19"/>
  </r>
  <r>
    <x v="2"/>
    <s v="Produce"/>
    <s v="Onions (Yellow)"/>
    <s v="lb"/>
    <n v="0.4"/>
    <n v="0.41600000000000004"/>
    <n v="2.08"/>
    <n v="0.83200000000000007"/>
    <n v="196"/>
    <n v="0"/>
    <n v="130"/>
    <n v="0.33673469387755101"/>
    <n v="66"/>
  </r>
  <r>
    <x v="2"/>
    <s v="Produce"/>
    <s v="Carrots"/>
    <s v="lb"/>
    <n v="0.35"/>
    <n v="0.36399999999999999"/>
    <n v="2.0099999999999998"/>
    <n v="0.7034999999999999"/>
    <n v="139"/>
    <n v="8"/>
    <n v="18"/>
    <n v="0.87050359712230219"/>
    <n v="121"/>
  </r>
  <r>
    <x v="2"/>
    <s v="Produce"/>
    <s v="Broccoli"/>
    <s v="lb"/>
    <n v="0.9"/>
    <n v="0.93600000000000005"/>
    <n v="2.09"/>
    <n v="1.881"/>
    <n v="196"/>
    <n v="5"/>
    <n v="27"/>
    <n v="0.86224489795918369"/>
    <n v="169"/>
  </r>
  <r>
    <x v="2"/>
    <s v="Produce"/>
    <s v="Lettuce (Romaine)"/>
    <s v="each"/>
    <n v="1"/>
    <n v="1.04"/>
    <n v="2.02"/>
    <n v="2.02"/>
    <n v="197"/>
    <n v="1"/>
    <n v="172"/>
    <n v="0.12690355329949238"/>
    <n v="25"/>
  </r>
  <r>
    <x v="2"/>
    <s v="Produce"/>
    <s v="Spinach (bagged)"/>
    <s v="lb"/>
    <n v="2.56"/>
    <n v="2.6624000000000003"/>
    <n v="2.06"/>
    <n v="5.2736000000000001"/>
    <n v="145"/>
    <n v="2"/>
    <n v="70"/>
    <n v="0.51724137931034486"/>
    <n v="75"/>
  </r>
  <r>
    <x v="2"/>
    <s v="Produce"/>
    <s v="Bell Peppers (Green)"/>
    <s v="lb"/>
    <n v="0.75"/>
    <n v="0.78"/>
    <n v="2.09"/>
    <n v="1.5674999999999999"/>
    <n v="101"/>
    <n v="9"/>
    <n v="77"/>
    <n v="0.23762376237623761"/>
    <n v="24"/>
  </r>
  <r>
    <x v="2"/>
    <s v="Produce"/>
    <s v="Cucumbers"/>
    <s v="each"/>
    <n v="0.4"/>
    <n v="0.41600000000000004"/>
    <n v="2"/>
    <n v="0.8"/>
    <n v="177"/>
    <n v="6"/>
    <n v="62"/>
    <n v="0.64971751412429379"/>
    <n v="115"/>
  </r>
  <r>
    <x v="2"/>
    <s v="Produce"/>
    <s v="Grapes (Red Seedless)"/>
    <s v="lb"/>
    <n v="1.4"/>
    <n v="1.456"/>
    <n v="2.09"/>
    <n v="2.9259999999999997"/>
    <n v="88"/>
    <n v="3"/>
    <n v="72"/>
    <n v="0.18181818181818182"/>
    <n v="16"/>
  </r>
  <r>
    <x v="2"/>
    <s v="Produce"/>
    <s v="Strawberries (1 lb)"/>
    <s v="lb"/>
    <n v="2"/>
    <n v="2.08"/>
    <n v="2.0499999999999998"/>
    <n v="4.0999999999999996"/>
    <n v="131"/>
    <n v="7"/>
    <n v="122"/>
    <n v="6.8702290076335881E-2"/>
    <n v="9"/>
  </r>
  <r>
    <x v="2"/>
    <s v="Produce"/>
    <s v="Blueberries"/>
    <s v="lb"/>
    <n v="0.45"/>
    <n v="0.46800000000000003"/>
    <n v="2.06"/>
    <n v="0.92700000000000005"/>
    <n v="153"/>
    <n v="9"/>
    <n v="123"/>
    <n v="0.19607843137254902"/>
    <n v="30"/>
  </r>
  <r>
    <x v="2"/>
    <s v="Produce"/>
    <s v="Pineapple"/>
    <s v="each"/>
    <n v="1.9"/>
    <n v="1.976"/>
    <n v="2.0499999999999998"/>
    <n v="3.8949999999999996"/>
    <n v="178"/>
    <n v="4"/>
    <n v="118"/>
    <n v="0.33707865168539325"/>
    <n v="60"/>
  </r>
  <r>
    <x v="2"/>
    <s v="Produce"/>
    <s v="Watermelon (whole)"/>
    <s v="each"/>
    <n v="4"/>
    <n v="4.16"/>
    <n v="1.99"/>
    <n v="7.96"/>
    <n v="60"/>
    <n v="0"/>
    <n v="56"/>
    <n v="6.6666666666666666E-2"/>
    <n v="4"/>
  </r>
  <r>
    <x v="2"/>
    <s v="Meat"/>
    <s v="Ground Beef (80/20)"/>
    <s v="lb"/>
    <n v="2.85"/>
    <n v="2.9640000000000004"/>
    <n v="2.1"/>
    <n v="5.9850000000000003"/>
    <n v="76"/>
    <n v="1"/>
    <n v="18"/>
    <n v="0.76315789473684215"/>
    <n v="58"/>
  </r>
  <r>
    <x v="2"/>
    <s v="Meat"/>
    <s v="Ground Turkey"/>
    <s v="lb"/>
    <n v="2.5"/>
    <n v="2.6"/>
    <n v="2"/>
    <n v="5"/>
    <n v="69"/>
    <n v="5"/>
    <n v="46"/>
    <n v="0.33333333333333331"/>
    <n v="23"/>
  </r>
  <r>
    <x v="2"/>
    <s v="Meat"/>
    <s v="Boneless Skinless Chicken Breast"/>
    <s v="lb"/>
    <n v="2.1"/>
    <n v="2.1840000000000002"/>
    <n v="1.95"/>
    <n v="4.0949999999999998"/>
    <n v="42"/>
    <n v="0"/>
    <n v="13"/>
    <n v="0.69047619047619047"/>
    <n v="29"/>
  </r>
  <r>
    <x v="2"/>
    <s v="Meat"/>
    <s v="Chicken Thighs (bone-in)"/>
    <s v="lb"/>
    <n v="1"/>
    <n v="1.04"/>
    <n v="1.96"/>
    <n v="1.96"/>
    <n v="50"/>
    <n v="5"/>
    <n v="37"/>
    <n v="0.26"/>
    <n v="13"/>
  </r>
  <r>
    <x v="2"/>
    <s v="Meat"/>
    <s v="Whole Chicken"/>
    <s v="lb"/>
    <n v="0.9"/>
    <n v="0.93600000000000005"/>
    <n v="2.1"/>
    <n v="1.8900000000000001"/>
    <n v="61"/>
    <n v="0"/>
    <n v="52"/>
    <n v="0.14754098360655737"/>
    <n v="9"/>
  </r>
  <r>
    <x v="2"/>
    <s v="Meat"/>
    <s v="Pork Chops (bone-in)"/>
    <s v="lb"/>
    <n v="1.9"/>
    <n v="1.976"/>
    <n v="2.0499999999999998"/>
    <n v="3.8949999999999996"/>
    <n v="26"/>
    <n v="0"/>
    <n v="3"/>
    <n v="0.88461538461538458"/>
    <n v="23"/>
  </r>
  <r>
    <x v="2"/>
    <s v="Meat"/>
    <s v="Pork Shoulder (Boston Butt)"/>
    <s v="lb"/>
    <n v="1.3"/>
    <n v="1.3520000000000001"/>
    <n v="2.06"/>
    <n v="2.6780000000000004"/>
    <n v="35"/>
    <n v="1"/>
    <n v="16"/>
    <n v="0.54285714285714282"/>
    <n v="19"/>
  </r>
  <r>
    <x v="2"/>
    <s v="Meat"/>
    <s v="Bacon (Regular Cut)"/>
    <s v="lb"/>
    <n v="4"/>
    <n v="4.16"/>
    <n v="2.09"/>
    <n v="8.36"/>
    <n v="79"/>
    <n v="0"/>
    <n v="29"/>
    <n v="0.63291139240506333"/>
    <n v="50"/>
  </r>
  <r>
    <x v="2"/>
    <s v="Meat"/>
    <s v="Breakfast Sausage (bulk)"/>
    <s v="lb"/>
    <n v="2.2000000000000002"/>
    <n v="2.2880000000000003"/>
    <n v="1.96"/>
    <n v="4.3120000000000003"/>
    <n v="21"/>
    <n v="8"/>
    <n v="8"/>
    <n v="0.61904761904761907"/>
    <n v="13"/>
  </r>
  <r>
    <x v="2"/>
    <s v="Meat"/>
    <s v="Italian Sausage (links)"/>
    <s v="lb"/>
    <n v="2.75"/>
    <n v="2.8600000000000003"/>
    <n v="2.0099999999999998"/>
    <n v="5.5274999999999999"/>
    <n v="20"/>
    <n v="5"/>
    <n v="15"/>
    <n v="0.25"/>
    <n v="5"/>
  </r>
  <r>
    <x v="2"/>
    <s v="Meat"/>
    <s v="Beef Chuck Roast"/>
    <s v="lb"/>
    <n v="3.5"/>
    <n v="3.64"/>
    <n v="2.0099999999999998"/>
    <n v="7.0349999999999993"/>
    <n v="67"/>
    <n v="5"/>
    <n v="32"/>
    <n v="0.52238805970149249"/>
    <n v="35"/>
  </r>
  <r>
    <x v="2"/>
    <s v="Meat"/>
    <s v="Beef Ribeye Steak (Boneless)"/>
    <s v="lb"/>
    <n v="8"/>
    <n v="8.32"/>
    <n v="2"/>
    <n v="16"/>
    <n v="31"/>
    <n v="3"/>
    <n v="23"/>
    <n v="0.25806451612903225"/>
    <n v="8"/>
  </r>
  <r>
    <x v="2"/>
    <s v="Meat"/>
    <s v="New York Strip Steak"/>
    <s v="lb"/>
    <n v="7"/>
    <n v="7.28"/>
    <n v="2.06"/>
    <n v="14.42"/>
    <n v="88"/>
    <n v="0"/>
    <n v="51"/>
    <n v="0.42045454545454547"/>
    <n v="37"/>
  </r>
  <r>
    <x v="2"/>
    <s v="Meat"/>
    <s v="Chicken Wings"/>
    <s v="lb"/>
    <n v="1.8"/>
    <n v="1.8720000000000001"/>
    <n v="1.98"/>
    <n v="3.5640000000000001"/>
    <n v="56"/>
    <n v="2"/>
    <n v="24"/>
    <n v="0.5714285714285714"/>
    <n v="32"/>
  </r>
  <r>
    <x v="2"/>
    <s v="Meat"/>
    <s v="Lamb Chops"/>
    <s v="lb"/>
    <n v="9"/>
    <n v="9.36"/>
    <n v="1.95"/>
    <n v="17.55"/>
    <n v="51"/>
    <n v="2"/>
    <n v="13"/>
    <n v="0.74509803921568629"/>
    <n v="38"/>
  </r>
  <r>
    <x v="2"/>
    <s v="Meat"/>
    <s v="Turkey (whole, frozen)"/>
    <s v="lb"/>
    <n v="0.95"/>
    <n v="0.98799999999999999"/>
    <n v="1.99"/>
    <n v="1.8904999999999998"/>
    <n v="28"/>
    <n v="2"/>
    <n v="10"/>
    <n v="0.6428571428571429"/>
    <n v="18"/>
  </r>
  <r>
    <x v="2"/>
    <s v="Meat"/>
    <s v="Ham (bone-in, smoked)"/>
    <s v="lb"/>
    <n v="1.85"/>
    <n v="1.9240000000000002"/>
    <n v="2.04"/>
    <n v="3.7740000000000005"/>
    <n v="38"/>
    <n v="1"/>
    <n v="34"/>
    <n v="0.10526315789473684"/>
    <n v="4"/>
  </r>
  <r>
    <x v="2"/>
    <s v="Meat"/>
    <s v="Deli Turkey Breast (sliced)"/>
    <s v="lb"/>
    <n v="5.5"/>
    <n v="5.7200000000000006"/>
    <n v="2.0499999999999998"/>
    <n v="11.274999999999999"/>
    <n v="67"/>
    <n v="2"/>
    <n v="58"/>
    <n v="0.13432835820895522"/>
    <n v="9"/>
  </r>
  <r>
    <x v="2"/>
    <s v="Meat"/>
    <s v="Hot Dogs (beef, standard pack)"/>
    <s v="lb"/>
    <n v="1.9"/>
    <n v="1.976"/>
    <n v="2.0099999999999998"/>
    <n v="3.8189999999999995"/>
    <n v="99"/>
    <n v="2"/>
    <n v="77"/>
    <n v="0.22222222222222221"/>
    <n v="22"/>
  </r>
  <r>
    <x v="2"/>
    <s v="Meat"/>
    <s v="Meatballs (pre-cooked)"/>
    <s v="lb"/>
    <n v="2.75"/>
    <n v="2.8600000000000003"/>
    <n v="1.96"/>
    <n v="5.39"/>
    <n v="22"/>
    <n v="10"/>
    <n v="8"/>
    <n v="0.63636363636363635"/>
    <n v="14"/>
  </r>
  <r>
    <x v="2"/>
    <s v="Frozen"/>
    <s v="Frozen Pizza (12”)"/>
    <s v="each"/>
    <n v="3.25"/>
    <n v="3.38"/>
    <n v="1.95"/>
    <n v="6.3374999999999995"/>
    <n v="69"/>
    <n v="6"/>
    <n v="3"/>
    <n v="0.95652173913043481"/>
    <n v="66"/>
  </r>
  <r>
    <x v="2"/>
    <s v="Frozen"/>
    <s v="Frozen Mixed Vegetables (16 oz)"/>
    <s v="each"/>
    <n v="0.9"/>
    <n v="0.93600000000000005"/>
    <n v="2.0300000000000002"/>
    <n v="1.8270000000000002"/>
    <n v="73"/>
    <n v="2"/>
    <n v="67"/>
    <n v="8.2191780821917804E-2"/>
    <n v="6"/>
  </r>
  <r>
    <x v="2"/>
    <s v="Frozen"/>
    <s v="Frozen French Fries (32 oz)"/>
    <s v="each"/>
    <n v="1.6"/>
    <n v="1.6640000000000001"/>
    <n v="2.0099999999999998"/>
    <n v="3.2159999999999997"/>
    <n v="103"/>
    <n v="3"/>
    <n v="91"/>
    <n v="0.11650485436893204"/>
    <n v="12"/>
  </r>
  <r>
    <x v="2"/>
    <s v="Frozen"/>
    <s v="Frozen Broccoli Florets (16 oz)"/>
    <s v="each"/>
    <n v="1.1000000000000001"/>
    <n v="1.1440000000000001"/>
    <n v="2"/>
    <n v="2.2000000000000002"/>
    <n v="82"/>
    <n v="4"/>
    <n v="7"/>
    <n v="0.91463414634146345"/>
    <n v="75"/>
  </r>
  <r>
    <x v="2"/>
    <s v="Frozen"/>
    <s v="Frozen Corn (16 oz)"/>
    <s v="each"/>
    <n v="0.95"/>
    <n v="0.98799999999999999"/>
    <n v="2"/>
    <n v="1.9"/>
    <n v="73"/>
    <n v="0"/>
    <n v="1"/>
    <n v="0.98630136986301364"/>
    <n v="72"/>
  </r>
  <r>
    <x v="2"/>
    <s v="Frozen"/>
    <s v="Ice Cream (1.5 qt)"/>
    <s v="each"/>
    <n v="2.75"/>
    <n v="2.8600000000000003"/>
    <n v="2.0499999999999998"/>
    <n v="5.6374999999999993"/>
    <n v="124"/>
    <n v="6"/>
    <n v="104"/>
    <n v="0.16129032258064516"/>
    <n v="20"/>
  </r>
  <r>
    <x v="2"/>
    <s v="Frozen"/>
    <s v="Ice Cream Sandwiches (box of 6)"/>
    <s v="each"/>
    <n v="1.9"/>
    <n v="1.976"/>
    <n v="1.97"/>
    <n v="3.7429999999999999"/>
    <n v="121"/>
    <n v="6"/>
    <n v="109"/>
    <n v="9.9173553719008267E-2"/>
    <n v="12"/>
  </r>
  <r>
    <x v="2"/>
    <s v="Frozen"/>
    <s v="Frozen Chicken Nuggets (32 oz)"/>
    <s v="each"/>
    <n v="4"/>
    <n v="4.16"/>
    <n v="2.08"/>
    <n v="8.32"/>
    <n v="85"/>
    <n v="2"/>
    <n v="40"/>
    <n v="0.52941176470588236"/>
    <n v="45"/>
  </r>
  <r>
    <x v="2"/>
    <s v="Frozen"/>
    <s v="Frozen Burritos (individual)"/>
    <s v="each"/>
    <n v="0.8"/>
    <n v="0.83200000000000007"/>
    <n v="2.0499999999999998"/>
    <n v="1.64"/>
    <n v="87"/>
    <n v="1"/>
    <n v="54"/>
    <n v="0.37931034482758619"/>
    <n v="33"/>
  </r>
  <r>
    <x v="2"/>
    <s v="Frozen"/>
    <s v="Frozen Meatballs (26 oz bag)"/>
    <s v="each"/>
    <n v="4.25"/>
    <n v="4.42"/>
    <n v="2.0499999999999998"/>
    <n v="8.7124999999999986"/>
    <n v="153"/>
    <n v="1"/>
    <n v="15"/>
    <n v="0.90196078431372551"/>
    <n v="138"/>
  </r>
  <r>
    <x v="2"/>
    <s v="Frozen"/>
    <s v="Frozen Waffles (box of 10)"/>
    <s v="each"/>
    <n v="1.6"/>
    <n v="1.6640000000000001"/>
    <n v="2"/>
    <n v="3.2"/>
    <n v="133"/>
    <n v="2"/>
    <n v="61"/>
    <n v="0.54135338345864659"/>
    <n v="72"/>
  </r>
  <r>
    <x v="2"/>
    <s v="Frozen"/>
    <s v="Frozen Pancakes (box of 12)"/>
    <s v="each"/>
    <n v="1.65"/>
    <n v="1.716"/>
    <n v="2.09"/>
    <n v="3.4484999999999997"/>
    <n v="148"/>
    <n v="0"/>
    <n v="112"/>
    <n v="0.24324324324324326"/>
    <n v="36"/>
  </r>
  <r>
    <x v="2"/>
    <s v="Frozen"/>
    <s v="TV Dinner / Meal (10–12 oz)"/>
    <s v="each"/>
    <n v="2.2000000000000002"/>
    <n v="2.2880000000000003"/>
    <n v="2"/>
    <n v="4.4000000000000004"/>
    <n v="138"/>
    <n v="6"/>
    <n v="11"/>
    <n v="0.92028985507246375"/>
    <n v="127"/>
  </r>
  <r>
    <x v="2"/>
    <s v="Frozen"/>
    <s v="Frozen Fish Fillets (breaded, 24 oz)"/>
    <s v="each"/>
    <n v="4"/>
    <n v="4.16"/>
    <n v="2.1"/>
    <n v="8.4"/>
    <n v="148"/>
    <n v="0"/>
    <n v="34"/>
    <n v="0.77027027027027029"/>
    <n v="114"/>
  </r>
  <r>
    <x v="2"/>
    <s v="Frozen"/>
    <s v="Frozen Shrimp (raw, peeled, 1 lb)"/>
    <s v="each"/>
    <n v="5.25"/>
    <n v="5.46"/>
    <n v="2.0300000000000002"/>
    <n v="10.657500000000001"/>
    <n v="74"/>
    <n v="1"/>
    <n v="10"/>
    <n v="0.86486486486486491"/>
    <n v="64"/>
  </r>
  <r>
    <x v="2"/>
    <s v="Frozen"/>
    <s v="Frozen Fruit (Strawberries, 16 oz)"/>
    <s v="each"/>
    <n v="2"/>
    <n v="2.08"/>
    <n v="2.08"/>
    <n v="4.16"/>
    <n v="142"/>
    <n v="7"/>
    <n v="63"/>
    <n v="0.55633802816901412"/>
    <n v="79"/>
  </r>
  <r>
    <x v="2"/>
    <s v="Frozen"/>
    <s v="Frozen Pie (apple, 8”)"/>
    <s v="each"/>
    <n v="2.8"/>
    <n v="2.9119999999999999"/>
    <n v="2.09"/>
    <n v="5.8519999999999994"/>
    <n v="67"/>
    <n v="4"/>
    <n v="45"/>
    <n v="0.32835820895522388"/>
    <n v="22"/>
  </r>
  <r>
    <x v="2"/>
    <s v="Frozen"/>
    <s v="Frozen Garlic Bread (16 oz)"/>
    <s v="each"/>
    <n v="1.35"/>
    <n v="1.4040000000000001"/>
    <n v="2.0700000000000003"/>
    <n v="2.7945000000000007"/>
    <n v="159"/>
    <n v="1"/>
    <n v="49"/>
    <n v="0.69182389937106914"/>
    <n v="110"/>
  </r>
  <r>
    <x v="2"/>
    <s v="Frozen"/>
    <s v="Frozen Breakfast Sandwich (2-pack)"/>
    <s v="each"/>
    <n v="2.25"/>
    <n v="2.34"/>
    <n v="2.04"/>
    <n v="4.59"/>
    <n v="131"/>
    <n v="1"/>
    <n v="68"/>
    <n v="0.48091603053435117"/>
    <n v="63"/>
  </r>
  <r>
    <x v="2"/>
    <s v="Frozen"/>
    <s v="Frozen Veggie Burgers (4-pack)"/>
    <s v="each"/>
    <n v="2.8"/>
    <n v="2.9119999999999999"/>
    <n v="1.99"/>
    <n v="5.5720000000000001"/>
    <n v="115"/>
    <n v="0"/>
    <n v="47"/>
    <n v="0.59130434782608698"/>
    <n v="68"/>
  </r>
  <r>
    <x v="2"/>
    <s v="Deli"/>
    <s v="Sliced Turkey Breast"/>
    <s v="lb"/>
    <n v="5.25"/>
    <n v="5.46"/>
    <n v="2.1"/>
    <n v="11.025"/>
    <n v="83"/>
    <n v="3"/>
    <n v="19"/>
    <n v="0.77108433734939763"/>
    <n v="64"/>
  </r>
  <r>
    <x v="2"/>
    <s v="Deli"/>
    <s v="Sliced Ham (Honey or Black Forest)"/>
    <s v="lb"/>
    <n v="4.75"/>
    <n v="4.9400000000000004"/>
    <n v="1.96"/>
    <n v="9.31"/>
    <n v="64"/>
    <n v="0"/>
    <n v="43"/>
    <n v="0.328125"/>
    <n v="21"/>
  </r>
  <r>
    <x v="2"/>
    <s v="Deli"/>
    <s v="Roast Beef (sliced)"/>
    <s v="lb"/>
    <n v="6.5"/>
    <n v="6.76"/>
    <n v="2.0099999999999998"/>
    <n v="13.064999999999998"/>
    <n v="109"/>
    <n v="2"/>
    <n v="32"/>
    <n v="0.70642201834862384"/>
    <n v="77"/>
  </r>
  <r>
    <x v="2"/>
    <s v="Deli"/>
    <s v="Genoa Salami"/>
    <s v="lb"/>
    <n v="5.75"/>
    <n v="5.98"/>
    <n v="1.99"/>
    <n v="11.442500000000001"/>
    <n v="90"/>
    <n v="8"/>
    <n v="72"/>
    <n v="0.2"/>
    <n v="18"/>
  </r>
  <r>
    <x v="2"/>
    <s v="Deli"/>
    <s v="Hard Salami"/>
    <s v="lb"/>
    <n v="5.5"/>
    <n v="5.7200000000000006"/>
    <n v="1.96"/>
    <n v="10.78"/>
    <n v="70"/>
    <n v="0"/>
    <n v="60"/>
    <n v="0.14285714285714285"/>
    <n v="10"/>
  </r>
  <r>
    <x v="2"/>
    <s v="Deli"/>
    <s v="Pepperoni (sliced)"/>
    <s v="lb"/>
    <n v="4.25"/>
    <n v="4.42"/>
    <n v="2.08"/>
    <n v="8.84"/>
    <n v="62"/>
    <n v="6"/>
    <n v="8"/>
    <n v="0.87096774193548387"/>
    <n v="54"/>
  </r>
  <r>
    <x v="2"/>
    <s v="Deli"/>
    <s v="Chicken Breast (sliced)"/>
    <s v="lb"/>
    <n v="5.0999999999999996"/>
    <n v="5.3039999999999994"/>
    <n v="1.98"/>
    <n v="10.097999999999999"/>
    <n v="97"/>
    <n v="10"/>
    <n v="67"/>
    <n v="0.30927835051546393"/>
    <n v="30"/>
  </r>
  <r>
    <x v="2"/>
    <s v="Deli"/>
    <s v="Bologna"/>
    <s v="lb"/>
    <n v="2.8"/>
    <n v="2.9119999999999999"/>
    <n v="1.97"/>
    <n v="5.516"/>
    <n v="62"/>
    <n v="0"/>
    <n v="34"/>
    <n v="0.45161290322580644"/>
    <n v="28"/>
  </r>
  <r>
    <x v="2"/>
    <s v="Deli"/>
    <s v="Mortadella"/>
    <s v="lb"/>
    <n v="4"/>
    <n v="4.16"/>
    <n v="2.09"/>
    <n v="8.36"/>
    <n v="43"/>
    <n v="6"/>
    <n v="16"/>
    <n v="0.62790697674418605"/>
    <n v="27"/>
  </r>
  <r>
    <x v="2"/>
    <s v="Deli"/>
    <s v="Prosciutto"/>
    <s v="lb"/>
    <n v="9"/>
    <n v="9.36"/>
    <n v="2.09"/>
    <n v="18.809999999999999"/>
    <n v="50"/>
    <n v="2"/>
    <n v="33"/>
    <n v="0.34"/>
    <n v="17"/>
  </r>
  <r>
    <x v="2"/>
    <s v="Deli"/>
    <s v="American Cheese (processed)"/>
    <s v="lb"/>
    <n v="2.75"/>
    <n v="2.8600000000000003"/>
    <n v="1.98"/>
    <n v="5.4450000000000003"/>
    <n v="77"/>
    <n v="7"/>
    <n v="64"/>
    <n v="0.16883116883116883"/>
    <n v="13"/>
  </r>
  <r>
    <x v="2"/>
    <s v="Deli"/>
    <s v="Cheddar Cheese (sharp)"/>
    <s v="lb"/>
    <n v="3.9"/>
    <n v="4.056"/>
    <n v="1.96"/>
    <n v="7.6440000000000001"/>
    <n v="49"/>
    <n v="2"/>
    <n v="7"/>
    <n v="0.8571428571428571"/>
    <n v="42"/>
  </r>
  <r>
    <x v="2"/>
    <s v="Deli"/>
    <s v="Swiss Cheese"/>
    <s v="lb"/>
    <n v="4.3"/>
    <n v="4.4719999999999995"/>
    <n v="2.06"/>
    <n v="8.8580000000000005"/>
    <n v="37"/>
    <n v="3"/>
    <n v="22"/>
    <n v="0.40540540540540543"/>
    <n v="15"/>
  </r>
  <r>
    <x v="2"/>
    <s v="Deli"/>
    <s v="Provolone Cheese"/>
    <s v="lb"/>
    <n v="4"/>
    <n v="4.16"/>
    <n v="2.09"/>
    <n v="8.36"/>
    <n v="36"/>
    <n v="2"/>
    <n v="11"/>
    <n v="0.69444444444444442"/>
    <n v="25"/>
  </r>
  <r>
    <x v="2"/>
    <s v="Deli"/>
    <s v="Mozzarella (fresh, sliced)"/>
    <s v="lb"/>
    <n v="4.75"/>
    <n v="4.9400000000000004"/>
    <n v="1.99"/>
    <n v="9.4525000000000006"/>
    <n v="96"/>
    <n v="6"/>
    <n v="53"/>
    <n v="0.44791666666666669"/>
    <n v="43"/>
  </r>
  <r>
    <x v="2"/>
    <s v="Deli"/>
    <s v="Coleslaw (prepared)"/>
    <s v="lb"/>
    <n v="2.25"/>
    <n v="2.34"/>
    <n v="1.99"/>
    <n v="4.4775"/>
    <n v="46"/>
    <n v="4"/>
    <n v="11"/>
    <n v="0.76086956521739135"/>
    <n v="35"/>
  </r>
  <r>
    <x v="2"/>
    <s v="Deli"/>
    <s v="Potato Salad (prepared)"/>
    <s v="lb"/>
    <n v="2.1"/>
    <n v="2.1840000000000002"/>
    <n v="2.0300000000000002"/>
    <n v="4.2630000000000008"/>
    <n v="62"/>
    <n v="2"/>
    <n v="45"/>
    <n v="0.27419354838709675"/>
    <n v="17"/>
  </r>
  <r>
    <x v="2"/>
    <s v="Deli"/>
    <s v="Macaroni Salad"/>
    <s v="lb"/>
    <n v="2"/>
    <n v="2.08"/>
    <n v="2.06"/>
    <n v="4.12"/>
    <n v="77"/>
    <n v="6"/>
    <n v="46"/>
    <n v="0.40259740259740262"/>
    <n v="31"/>
  </r>
  <r>
    <x v="2"/>
    <s v="Deli"/>
    <s v="Rotisserie Chicken (whole)"/>
    <s v="each"/>
    <n v="4.5"/>
    <n v="4.68"/>
    <n v="2"/>
    <n v="9"/>
    <n v="105"/>
    <n v="0"/>
    <n v="14"/>
    <n v="0.8666666666666667"/>
    <n v="91"/>
  </r>
  <r>
    <x v="2"/>
    <s v="Deli"/>
    <s v="Deli Sandwich (made to order)"/>
    <s v="each"/>
    <n v="3.75"/>
    <n v="3.9000000000000004"/>
    <n v="2.09"/>
    <n v="7.8374999999999995"/>
    <n v="88"/>
    <n v="0"/>
    <n v="18"/>
    <n v="0.79545454545454541"/>
    <n v="70"/>
  </r>
  <r>
    <x v="2"/>
    <s v="Dairy"/>
    <s v="Whole Milk (1 gallon)"/>
    <s v="each"/>
    <n v="2"/>
    <n v="2.08"/>
    <n v="1.96"/>
    <n v="3.92"/>
    <n v="174"/>
    <n v="0"/>
    <n v="25"/>
    <n v="0.85632183908045978"/>
    <n v="149"/>
  </r>
  <r>
    <x v="2"/>
    <s v="Dairy"/>
    <s v="2% Milk (1 gallon)"/>
    <s v="each"/>
    <n v="1.95"/>
    <n v="2.028"/>
    <n v="2.0300000000000002"/>
    <n v="3.9585000000000004"/>
    <n v="145"/>
    <n v="1"/>
    <n v="51"/>
    <n v="0.64827586206896548"/>
    <n v="94"/>
  </r>
  <r>
    <x v="2"/>
    <s v="Dairy"/>
    <s v="Skim Milk (1 gallon)"/>
    <s v="each"/>
    <n v="1.9"/>
    <n v="1.976"/>
    <n v="2.06"/>
    <n v="3.9139999999999997"/>
    <n v="178"/>
    <n v="0"/>
    <n v="92"/>
    <n v="0.48314606741573035"/>
    <n v="86"/>
  </r>
  <r>
    <x v="2"/>
    <s v="Dairy"/>
    <s v="Organic Milk (1/2 gallon)"/>
    <s v="each"/>
    <n v="3.1"/>
    <n v="3.2240000000000002"/>
    <n v="2"/>
    <n v="6.2"/>
    <n v="81"/>
    <n v="7"/>
    <n v="21"/>
    <n v="0.7407407407407407"/>
    <n v="60"/>
  </r>
  <r>
    <x v="2"/>
    <s v="Dairy"/>
    <s v="Heavy Whipping Cream (pint)"/>
    <s v="each"/>
    <n v="2"/>
    <n v="2.08"/>
    <n v="2.0700000000000003"/>
    <n v="4.1400000000000006"/>
    <n v="169"/>
    <n v="0"/>
    <n v="20"/>
    <n v="0.88165680473372776"/>
    <n v="149"/>
  </r>
  <r>
    <x v="2"/>
    <s v="Dairy"/>
    <s v="Half &amp; Half (quart)"/>
    <s v="each"/>
    <n v="1.7"/>
    <n v="1.768"/>
    <n v="2.06"/>
    <n v="3.5019999999999998"/>
    <n v="89"/>
    <n v="3"/>
    <n v="50"/>
    <n v="0.43820224719101125"/>
    <n v="39"/>
  </r>
  <r>
    <x v="2"/>
    <s v="Dairy"/>
    <s v="Buttermilk (quart)"/>
    <s v="each"/>
    <n v="1.5"/>
    <n v="1.56"/>
    <n v="2.0099999999999998"/>
    <n v="3.0149999999999997"/>
    <n v="97"/>
    <n v="0"/>
    <n v="37"/>
    <n v="0.61855670103092786"/>
    <n v="60"/>
  </r>
  <r>
    <x v="2"/>
    <s v="Dairy"/>
    <s v="Butter (salted, 1 lb)"/>
    <s v="each"/>
    <n v="2.65"/>
    <n v="2.7559999999999998"/>
    <n v="2"/>
    <n v="5.3"/>
    <n v="161"/>
    <n v="6"/>
    <n v="19"/>
    <n v="0.88198757763975155"/>
    <n v="142"/>
  </r>
  <r>
    <x v="2"/>
    <s v="Dairy"/>
    <s v="Margarine (1 lb)"/>
    <s v="each"/>
    <n v="1.2"/>
    <n v="1.248"/>
    <n v="2.0300000000000002"/>
    <n v="2.4360000000000004"/>
    <n v="168"/>
    <n v="8"/>
    <n v="156"/>
    <n v="7.1428571428571425E-2"/>
    <n v="12"/>
  </r>
  <r>
    <x v="2"/>
    <s v="Dairy"/>
    <s v="Sour Cream (16 oz)"/>
    <s v="each"/>
    <n v="1.4"/>
    <n v="1.456"/>
    <n v="2.0300000000000002"/>
    <n v="2.8420000000000001"/>
    <n v="110"/>
    <n v="2"/>
    <n v="50"/>
    <n v="0.54545454545454541"/>
    <n v="60"/>
  </r>
  <r>
    <x v="2"/>
    <s v="Dairy"/>
    <s v="Cottage Cheese (16 oz)"/>
    <s v="each"/>
    <n v="1.6"/>
    <n v="1.6640000000000001"/>
    <n v="2.0499999999999998"/>
    <n v="3.28"/>
    <n v="113"/>
    <n v="6"/>
    <n v="3"/>
    <n v="0.97345132743362828"/>
    <n v="110"/>
  </r>
  <r>
    <x v="2"/>
    <s v="Dairy"/>
    <s v="Greek Yogurt (single 5.3 oz cup)"/>
    <s v="each"/>
    <n v="0.7"/>
    <n v="0.72799999999999998"/>
    <n v="2.06"/>
    <n v="1.4419999999999999"/>
    <n v="67"/>
    <n v="0"/>
    <n v="54"/>
    <n v="0.19402985074626866"/>
    <n v="13"/>
  </r>
  <r>
    <x v="2"/>
    <s v="Dairy"/>
    <s v="Yogurt (regular, 6 oz)"/>
    <s v="each"/>
    <n v="0.55000000000000004"/>
    <n v="0.57200000000000006"/>
    <n v="2.09"/>
    <n v="1.1495"/>
    <n v="86"/>
    <n v="5"/>
    <n v="70"/>
    <n v="0.18604651162790697"/>
    <n v="16"/>
  </r>
  <r>
    <x v="2"/>
    <s v="Dairy"/>
    <s v="Cream Cheese (8 oz block)"/>
    <s v="each"/>
    <n v="1.4"/>
    <n v="1.456"/>
    <n v="2.1"/>
    <n v="2.94"/>
    <n v="86"/>
    <n v="0"/>
    <n v="27"/>
    <n v="0.68604651162790697"/>
    <n v="59"/>
  </r>
  <r>
    <x v="2"/>
    <s v="Dairy"/>
    <s v="Shredded Cheese (8 oz bag)"/>
    <s v="each"/>
    <n v="2"/>
    <n v="2.08"/>
    <n v="2.08"/>
    <n v="4.16"/>
    <n v="157"/>
    <n v="7"/>
    <n v="3"/>
    <n v="0.98089171974522293"/>
    <n v="154"/>
  </r>
  <r>
    <x v="2"/>
    <s v="Dairy"/>
    <s v="Sliced Cheese (8 oz)"/>
    <s v="each"/>
    <n v="2.25"/>
    <n v="2.34"/>
    <n v="2.0300000000000002"/>
    <n v="4.5675000000000008"/>
    <n v="80"/>
    <n v="0"/>
    <n v="21"/>
    <n v="0.73750000000000004"/>
    <n v="59"/>
  </r>
  <r>
    <x v="2"/>
    <s v="Dairy"/>
    <s v="Cheddar Cheese Block (1 lb)"/>
    <s v="each"/>
    <n v="3.4"/>
    <n v="3.536"/>
    <n v="2.04"/>
    <n v="6.9359999999999999"/>
    <n v="89"/>
    <n v="2"/>
    <n v="75"/>
    <n v="0.15730337078651685"/>
    <n v="14"/>
  </r>
  <r>
    <x v="2"/>
    <s v="Dairy"/>
    <s v="Mozzarella (low moisture, 1 lb)"/>
    <s v="each"/>
    <n v="3.1"/>
    <n v="3.2240000000000002"/>
    <n v="2.0300000000000002"/>
    <n v="6.293000000000001"/>
    <n v="156"/>
    <n v="4"/>
    <n v="66"/>
    <n v="0.57692307692307687"/>
    <n v="90"/>
  </r>
  <r>
    <x v="2"/>
    <s v="Dairy"/>
    <s v="Eggs (dozen, large, Grade A)"/>
    <s v="each"/>
    <n v="1.5"/>
    <n v="1.56"/>
    <n v="2.0099999999999998"/>
    <n v="3.0149999999999997"/>
    <n v="87"/>
    <n v="1"/>
    <n v="85"/>
    <n v="2.2988505747126436E-2"/>
    <n v="2"/>
  </r>
  <r>
    <x v="2"/>
    <s v="Dairy"/>
    <s v="Egg Substitute (16 oz carton)"/>
    <s v="each"/>
    <n v="1.9"/>
    <n v="1.976"/>
    <n v="2.0499999999999998"/>
    <n v="3.8949999999999996"/>
    <n v="170"/>
    <n v="0"/>
    <n v="161"/>
    <n v="5.2941176470588235E-2"/>
    <n v="9"/>
  </r>
  <r>
    <x v="2"/>
    <s v="Bakery"/>
    <s v="White Sandwich Bread (loaf)"/>
    <s v="each"/>
    <n v="1.3"/>
    <n v="1.3520000000000001"/>
    <n v="2.04"/>
    <n v="2.6520000000000001"/>
    <n v="103"/>
    <n v="0"/>
    <n v="90"/>
    <n v="0.12621359223300971"/>
    <n v="13"/>
  </r>
  <r>
    <x v="2"/>
    <s v="Bakery"/>
    <s v="Whole Wheat Bread (loaf)"/>
    <s v="each"/>
    <n v="1.6"/>
    <n v="1.6640000000000001"/>
    <n v="2.06"/>
    <n v="3.2960000000000003"/>
    <n v="136"/>
    <n v="1"/>
    <n v="104"/>
    <n v="0.23529411764705882"/>
    <n v="32"/>
  </r>
  <r>
    <x v="2"/>
    <s v="Bakery"/>
    <s v="French Baguette"/>
    <s v="each"/>
    <n v="1.35"/>
    <n v="1.4040000000000001"/>
    <n v="1.97"/>
    <n v="2.6595"/>
    <n v="108"/>
    <n v="2"/>
    <n v="0"/>
    <n v="1"/>
    <n v="108"/>
  </r>
  <r>
    <x v="2"/>
    <s v="Bakery"/>
    <s v="Italian Bread (loaf)"/>
    <s v="each"/>
    <n v="1.6"/>
    <n v="1.6640000000000001"/>
    <n v="2.0300000000000002"/>
    <n v="3.2480000000000007"/>
    <n v="100"/>
    <n v="0"/>
    <n v="71"/>
    <n v="0.28999999999999998"/>
    <n v="29"/>
  </r>
  <r>
    <x v="2"/>
    <s v="Bakery"/>
    <s v="Dinner Rolls (12-pack)"/>
    <s v="each"/>
    <n v="2.1"/>
    <n v="2.1840000000000002"/>
    <n v="2.04"/>
    <n v="4.2840000000000007"/>
    <n v="87"/>
    <n v="1"/>
    <n v="86"/>
    <n v="1.1494252873563218E-2"/>
    <n v="1"/>
  </r>
  <r>
    <x v="2"/>
    <s v="Bakery"/>
    <s v="Kaiser Rolls (6-pack)"/>
    <s v="each"/>
    <n v="1.85"/>
    <n v="1.9240000000000002"/>
    <n v="2.0700000000000003"/>
    <n v="3.8295000000000008"/>
    <n v="58"/>
    <n v="0"/>
    <n v="37"/>
    <n v="0.36206896551724138"/>
    <n v="21"/>
  </r>
  <r>
    <x v="2"/>
    <s v="Bakery"/>
    <s v="Hamburger Buns (8-pack)"/>
    <s v="each"/>
    <n v="1.55"/>
    <n v="1.6120000000000001"/>
    <n v="2.0700000000000003"/>
    <n v="3.2085000000000004"/>
    <n v="43"/>
    <n v="5"/>
    <n v="5"/>
    <n v="0.88372093023255816"/>
    <n v="38"/>
  </r>
  <r>
    <x v="2"/>
    <s v="Bakery"/>
    <s v="Hot Dog Buns (8-pack)"/>
    <s v="each"/>
    <n v="1.55"/>
    <n v="1.6120000000000001"/>
    <n v="2"/>
    <n v="3.1"/>
    <n v="74"/>
    <n v="0"/>
    <n v="24"/>
    <n v="0.67567567567567566"/>
    <n v="50"/>
  </r>
  <r>
    <x v="2"/>
    <s v="Bakery"/>
    <s v="English Muffins (6-pack)"/>
    <s v="each"/>
    <n v="1.75"/>
    <n v="1.82"/>
    <n v="2.06"/>
    <n v="3.605"/>
    <n v="103"/>
    <n v="1"/>
    <n v="81"/>
    <n v="0.21359223300970873"/>
    <n v="22"/>
  </r>
  <r>
    <x v="2"/>
    <s v="Bakery"/>
    <s v="Bagels (6-pack)"/>
    <s v="each"/>
    <n v="2.2000000000000002"/>
    <n v="2.2880000000000003"/>
    <n v="1.96"/>
    <n v="4.3120000000000003"/>
    <n v="88"/>
    <n v="0"/>
    <n v="16"/>
    <n v="0.81818181818181823"/>
    <n v="72"/>
  </r>
  <r>
    <x v="2"/>
    <s v="Bakery"/>
    <s v="Croissants (4-pack)"/>
    <s v="each"/>
    <n v="2.75"/>
    <n v="2.8600000000000003"/>
    <n v="2.02"/>
    <n v="5.5549999999999997"/>
    <n v="56"/>
    <n v="1"/>
    <n v="11"/>
    <n v="0.8035714285714286"/>
    <n v="45"/>
  </r>
  <r>
    <x v="2"/>
    <s v="Bakery"/>
    <s v="Muffins (4-pack, assorted)"/>
    <s v="each"/>
    <n v="2.4"/>
    <n v="2.496"/>
    <n v="2"/>
    <n v="4.8"/>
    <n v="83"/>
    <n v="5"/>
    <n v="5"/>
    <n v="0.93975903614457834"/>
    <n v="78"/>
  </r>
  <r>
    <x v="2"/>
    <s v="Bakery"/>
    <s v="Donuts (6-pack, glazed)"/>
    <s v="each"/>
    <n v="2.7"/>
    <n v="2.8080000000000003"/>
    <n v="2.0300000000000002"/>
    <n v="5.4810000000000008"/>
    <n v="131"/>
    <n v="1"/>
    <n v="26"/>
    <n v="0.80152671755725191"/>
    <n v="105"/>
  </r>
  <r>
    <x v="2"/>
    <s v="Bakery"/>
    <s v="Danish Pastries (4-pack)"/>
    <s v="each"/>
    <n v="2.6"/>
    <n v="2.7040000000000002"/>
    <n v="2.0700000000000003"/>
    <n v="5.3820000000000006"/>
    <n v="69"/>
    <n v="0"/>
    <n v="7"/>
    <n v="0.89855072463768115"/>
    <n v="62"/>
  </r>
  <r>
    <x v="2"/>
    <s v="Bakery"/>
    <s v="Apple Pie (9”)"/>
    <s v="each"/>
    <n v="4"/>
    <n v="4.16"/>
    <n v="2.04"/>
    <n v="8.16"/>
    <n v="132"/>
    <n v="4"/>
    <n v="123"/>
    <n v="6.8181818181818177E-2"/>
    <n v="9"/>
  </r>
  <r>
    <x v="2"/>
    <s v="Bakery"/>
    <s v="Pumpkin Pie (9”)"/>
    <s v="each"/>
    <n v="4.25"/>
    <n v="4.42"/>
    <n v="2.0499999999999998"/>
    <n v="8.7124999999999986"/>
    <n v="85"/>
    <n v="5"/>
    <n v="64"/>
    <n v="0.24705882352941178"/>
    <n v="21"/>
  </r>
  <r>
    <x v="2"/>
    <s v="Bakery"/>
    <s v="Chocolate Cake (single layer)"/>
    <s v="each"/>
    <n v="5"/>
    <n v="5.2"/>
    <n v="1.99"/>
    <n v="9.9499999999999993"/>
    <n v="45"/>
    <n v="0"/>
    <n v="28"/>
    <n v="0.37777777777777777"/>
    <n v="17"/>
  </r>
  <r>
    <x v="2"/>
    <s v="Bakery"/>
    <s v="Cupcakes (6-pack)"/>
    <s v="each"/>
    <n v="3"/>
    <n v="3.12"/>
    <n v="2.02"/>
    <n v="6.0600000000000005"/>
    <n v="138"/>
    <n v="4"/>
    <n v="108"/>
    <n v="0.21739130434782608"/>
    <n v="30"/>
  </r>
  <r>
    <x v="2"/>
    <s v="Bakery"/>
    <s v="Brownies (6-pack)"/>
    <s v="each"/>
    <n v="2.4"/>
    <n v="2.496"/>
    <n v="2"/>
    <n v="4.8"/>
    <n v="144"/>
    <n v="8"/>
    <n v="98"/>
    <n v="0.31944444444444442"/>
    <n v="46"/>
  </r>
  <r>
    <x v="2"/>
    <s v="Bakery"/>
    <s v="Coffee Cake (whole)"/>
    <s v="each"/>
    <n v="3.25"/>
    <n v="3.38"/>
    <n v="1.97"/>
    <n v="6.4024999999999999"/>
    <n v="76"/>
    <n v="0"/>
    <n v="39"/>
    <n v="0.48684210526315791"/>
    <n v="37"/>
  </r>
  <r>
    <x v="3"/>
    <s v="Produce"/>
    <s v="Bananas"/>
    <s v="lb"/>
    <n v="0.35"/>
    <n v="0.35699999999999998"/>
    <n v="1.96"/>
    <n v="0.68599999999999994"/>
    <n v="73"/>
    <n v="4"/>
    <n v="13"/>
    <n v="0.82191780821917804"/>
    <n v="60"/>
  </r>
  <r>
    <x v="3"/>
    <s v="Produce"/>
    <s v="Apples (Gala)"/>
    <s v="lb"/>
    <n v="0.85"/>
    <n v="0.86699999999999999"/>
    <n v="1.98"/>
    <n v="1.6830000000000001"/>
    <n v="142"/>
    <n v="4"/>
    <n v="34"/>
    <n v="0.76056338028169013"/>
    <n v="108"/>
  </r>
  <r>
    <x v="3"/>
    <s v="Produce"/>
    <s v="Oranges (Navel)"/>
    <s v="lb"/>
    <n v="0.7"/>
    <n v="0.71399999999999997"/>
    <n v="2"/>
    <n v="1.4"/>
    <n v="95"/>
    <n v="2"/>
    <n v="47"/>
    <n v="0.50526315789473686"/>
    <n v="48"/>
  </r>
  <r>
    <x v="3"/>
    <s v="Produce"/>
    <s v="Lemons"/>
    <s v="each"/>
    <n v="0.35"/>
    <n v="0.35699999999999998"/>
    <n v="2.02"/>
    <n v="0.70699999999999996"/>
    <n v="144"/>
    <n v="0"/>
    <n v="83"/>
    <n v="0.4236111111111111"/>
    <n v="61"/>
  </r>
  <r>
    <x v="3"/>
    <s v="Produce"/>
    <s v="Limes"/>
    <s v="each"/>
    <n v="0.2"/>
    <n v="0.20400000000000001"/>
    <n v="2.0099999999999998"/>
    <n v="0.40199999999999997"/>
    <n v="148"/>
    <n v="0"/>
    <n v="55"/>
    <n v="0.6283783783783784"/>
    <n v="93"/>
  </r>
  <r>
    <x v="3"/>
    <s v="Produce"/>
    <s v="Avocados (Hass)"/>
    <s v="each"/>
    <n v="0.75"/>
    <n v="0.76500000000000001"/>
    <n v="2.02"/>
    <n v="1.5150000000000001"/>
    <n v="165"/>
    <n v="6"/>
    <n v="140"/>
    <n v="0.15151515151515152"/>
    <n v="25"/>
  </r>
  <r>
    <x v="3"/>
    <s v="Produce"/>
    <s v="Tomatoes (Roma)"/>
    <s v="lb"/>
    <n v="0.6"/>
    <n v="0.61199999999999999"/>
    <n v="2.09"/>
    <n v="1.2539999999999998"/>
    <n v="116"/>
    <n v="10"/>
    <n v="60"/>
    <n v="0.48275862068965519"/>
    <n v="56"/>
  </r>
  <r>
    <x v="3"/>
    <s v="Produce"/>
    <s v="Potatoes (Russet)"/>
    <s v="lb"/>
    <n v="0.45"/>
    <n v="0.45900000000000002"/>
    <n v="1.99"/>
    <n v="0.89549999999999996"/>
    <n v="177"/>
    <n v="3"/>
    <n v="48"/>
    <n v="0.72881355932203384"/>
    <n v="129"/>
  </r>
  <r>
    <x v="3"/>
    <s v="Produce"/>
    <s v="Onions (Yellow)"/>
    <s v="lb"/>
    <n v="0.4"/>
    <n v="0.40800000000000003"/>
    <n v="2"/>
    <n v="0.8"/>
    <n v="67"/>
    <n v="1"/>
    <n v="45"/>
    <n v="0.32835820895522388"/>
    <n v="22"/>
  </r>
  <r>
    <x v="3"/>
    <s v="Produce"/>
    <s v="Carrots"/>
    <s v="lb"/>
    <n v="0.35"/>
    <n v="0.35699999999999998"/>
    <n v="2.02"/>
    <n v="0.70699999999999996"/>
    <n v="74"/>
    <n v="3"/>
    <n v="61"/>
    <n v="0.17567567567567569"/>
    <n v="13"/>
  </r>
  <r>
    <x v="3"/>
    <s v="Produce"/>
    <s v="Broccoli"/>
    <s v="lb"/>
    <n v="0.9"/>
    <n v="0.91800000000000004"/>
    <n v="1.99"/>
    <n v="1.7909999999999999"/>
    <n v="103"/>
    <n v="2"/>
    <n v="7"/>
    <n v="0.93203883495145634"/>
    <n v="96"/>
  </r>
  <r>
    <x v="3"/>
    <s v="Produce"/>
    <s v="Lettuce (Romaine)"/>
    <s v="each"/>
    <n v="1"/>
    <n v="1.02"/>
    <n v="2"/>
    <n v="2"/>
    <n v="107"/>
    <n v="1"/>
    <n v="42"/>
    <n v="0.60747663551401865"/>
    <n v="65"/>
  </r>
  <r>
    <x v="3"/>
    <s v="Produce"/>
    <s v="Spinach (bagged)"/>
    <s v="lb"/>
    <n v="2.56"/>
    <n v="2.6112000000000002"/>
    <n v="2.06"/>
    <n v="5.2736000000000001"/>
    <n v="116"/>
    <n v="0"/>
    <n v="19"/>
    <n v="0.83620689655172409"/>
    <n v="97"/>
  </r>
  <r>
    <x v="3"/>
    <s v="Produce"/>
    <s v="Bell Peppers (Green)"/>
    <s v="lb"/>
    <n v="0.75"/>
    <n v="0.76500000000000001"/>
    <n v="2.0499999999999998"/>
    <n v="1.5374999999999999"/>
    <n v="153"/>
    <n v="5"/>
    <n v="123"/>
    <n v="0.19607843137254902"/>
    <n v="30"/>
  </r>
  <r>
    <x v="3"/>
    <s v="Produce"/>
    <s v="Cucumbers"/>
    <s v="each"/>
    <n v="0.4"/>
    <n v="0.40800000000000003"/>
    <n v="2"/>
    <n v="0.8"/>
    <n v="73"/>
    <n v="1"/>
    <n v="38"/>
    <n v="0.47945205479452052"/>
    <n v="35"/>
  </r>
  <r>
    <x v="3"/>
    <s v="Produce"/>
    <s v="Grapes (Red Seedless)"/>
    <s v="lb"/>
    <n v="1.4"/>
    <n v="1.4279999999999999"/>
    <n v="2.0300000000000002"/>
    <n v="2.8420000000000001"/>
    <n v="163"/>
    <n v="5"/>
    <n v="84"/>
    <n v="0.48466257668711654"/>
    <n v="79"/>
  </r>
  <r>
    <x v="3"/>
    <s v="Produce"/>
    <s v="Strawberries (1 lb)"/>
    <s v="lb"/>
    <n v="2"/>
    <n v="2.04"/>
    <n v="1.99"/>
    <n v="3.98"/>
    <n v="81"/>
    <n v="1"/>
    <n v="48"/>
    <n v="0.40740740740740738"/>
    <n v="33"/>
  </r>
  <r>
    <x v="3"/>
    <s v="Produce"/>
    <s v="Blueberries"/>
    <s v="lb"/>
    <n v="0.45"/>
    <n v="0.45900000000000002"/>
    <n v="2.0099999999999998"/>
    <n v="0.90449999999999997"/>
    <n v="135"/>
    <n v="0"/>
    <n v="61"/>
    <n v="0.54814814814814816"/>
    <n v="74"/>
  </r>
  <r>
    <x v="3"/>
    <s v="Produce"/>
    <s v="Pineapple"/>
    <s v="each"/>
    <n v="1.9"/>
    <n v="1.9379999999999999"/>
    <n v="1.95"/>
    <n v="3.7049999999999996"/>
    <n v="176"/>
    <n v="0"/>
    <n v="105"/>
    <n v="0.40340909090909088"/>
    <n v="71"/>
  </r>
  <r>
    <x v="3"/>
    <s v="Produce"/>
    <s v="Watermelon (whole)"/>
    <s v="each"/>
    <n v="4"/>
    <n v="4.08"/>
    <n v="2.08"/>
    <n v="8.32"/>
    <n v="179"/>
    <n v="2"/>
    <n v="106"/>
    <n v="0.40782122905027934"/>
    <n v="73"/>
  </r>
  <r>
    <x v="3"/>
    <s v="Meat"/>
    <s v="Ground Beef (80/20)"/>
    <s v="lb"/>
    <n v="2.85"/>
    <n v="2.907"/>
    <n v="2.0300000000000002"/>
    <n v="5.7855000000000008"/>
    <n v="36"/>
    <n v="8"/>
    <n v="21"/>
    <n v="0.41666666666666669"/>
    <n v="15"/>
  </r>
  <r>
    <x v="3"/>
    <s v="Meat"/>
    <s v="Ground Turkey"/>
    <s v="lb"/>
    <n v="2.5"/>
    <n v="2.5499999999999998"/>
    <n v="2.08"/>
    <n v="5.2"/>
    <n v="52"/>
    <n v="0"/>
    <n v="40"/>
    <n v="0.23076923076923078"/>
    <n v="12"/>
  </r>
  <r>
    <x v="3"/>
    <s v="Meat"/>
    <s v="Boneless Skinless Chicken Breast"/>
    <s v="lb"/>
    <n v="2.1"/>
    <n v="2.1420000000000003"/>
    <n v="2.09"/>
    <n v="4.3890000000000002"/>
    <n v="28"/>
    <n v="6"/>
    <n v="8"/>
    <n v="0.7142857142857143"/>
    <n v="20"/>
  </r>
  <r>
    <x v="3"/>
    <s v="Meat"/>
    <s v="Chicken Thighs (bone-in)"/>
    <s v="lb"/>
    <n v="1"/>
    <n v="1.02"/>
    <n v="2"/>
    <n v="2"/>
    <n v="62"/>
    <n v="2"/>
    <n v="23"/>
    <n v="0.62903225806451613"/>
    <n v="39"/>
  </r>
  <r>
    <x v="3"/>
    <s v="Meat"/>
    <s v="Whole Chicken"/>
    <s v="lb"/>
    <n v="0.9"/>
    <n v="0.91800000000000004"/>
    <n v="2.06"/>
    <n v="1.8540000000000001"/>
    <n v="67"/>
    <n v="5"/>
    <n v="36"/>
    <n v="0.46268656716417911"/>
    <n v="31"/>
  </r>
  <r>
    <x v="3"/>
    <s v="Meat"/>
    <s v="Pork Chops (bone-in)"/>
    <s v="lb"/>
    <n v="1.9"/>
    <n v="1.9379999999999999"/>
    <n v="2.0300000000000002"/>
    <n v="3.8570000000000002"/>
    <n v="58"/>
    <n v="1"/>
    <n v="48"/>
    <n v="0.17241379310344829"/>
    <n v="10"/>
  </r>
  <r>
    <x v="3"/>
    <s v="Meat"/>
    <s v="Pork Shoulder (Boston Butt)"/>
    <s v="lb"/>
    <n v="1.3"/>
    <n v="1.3260000000000001"/>
    <n v="2"/>
    <n v="2.6"/>
    <n v="61"/>
    <n v="5"/>
    <n v="40"/>
    <n v="0.34426229508196721"/>
    <n v="21"/>
  </r>
  <r>
    <x v="3"/>
    <s v="Meat"/>
    <s v="Bacon (Regular Cut)"/>
    <s v="lb"/>
    <n v="4"/>
    <n v="4.08"/>
    <n v="2.04"/>
    <n v="8.16"/>
    <n v="45"/>
    <n v="4"/>
    <n v="16"/>
    <n v="0.64444444444444449"/>
    <n v="29"/>
  </r>
  <r>
    <x v="3"/>
    <s v="Meat"/>
    <s v="Breakfast Sausage (bulk)"/>
    <s v="lb"/>
    <n v="2.2000000000000002"/>
    <n v="2.2440000000000002"/>
    <n v="1.99"/>
    <n v="4.3780000000000001"/>
    <n v="69"/>
    <n v="0"/>
    <n v="20"/>
    <n v="0.71014492753623193"/>
    <n v="49"/>
  </r>
  <r>
    <x v="3"/>
    <s v="Meat"/>
    <s v="Italian Sausage (links)"/>
    <s v="lb"/>
    <n v="2.75"/>
    <n v="2.8050000000000002"/>
    <n v="2.04"/>
    <n v="5.61"/>
    <n v="44"/>
    <n v="0"/>
    <n v="38"/>
    <n v="0.13636363636363635"/>
    <n v="6"/>
  </r>
  <r>
    <x v="3"/>
    <s v="Meat"/>
    <s v="Beef Chuck Roast"/>
    <s v="lb"/>
    <n v="3.5"/>
    <n v="3.5700000000000003"/>
    <n v="2.0099999999999998"/>
    <n v="7.0349999999999993"/>
    <n v="43"/>
    <n v="6"/>
    <n v="12"/>
    <n v="0.72093023255813948"/>
    <n v="31"/>
  </r>
  <r>
    <x v="3"/>
    <s v="Meat"/>
    <s v="Beef Ribeye Steak (Boneless)"/>
    <s v="lb"/>
    <n v="8"/>
    <n v="8.16"/>
    <n v="2.06"/>
    <n v="16.48"/>
    <n v="32"/>
    <n v="8"/>
    <n v="10"/>
    <n v="0.6875"/>
    <n v="22"/>
  </r>
  <r>
    <x v="3"/>
    <s v="Meat"/>
    <s v="New York Strip Steak"/>
    <s v="lb"/>
    <n v="7"/>
    <n v="7.1400000000000006"/>
    <n v="2"/>
    <n v="14"/>
    <n v="79"/>
    <n v="0"/>
    <n v="18"/>
    <n v="0.77215189873417722"/>
    <n v="61"/>
  </r>
  <r>
    <x v="3"/>
    <s v="Meat"/>
    <s v="Chicken Wings"/>
    <s v="lb"/>
    <n v="1.8"/>
    <n v="1.8360000000000001"/>
    <n v="1.97"/>
    <n v="3.5459999999999998"/>
    <n v="26"/>
    <n v="4"/>
    <n v="10"/>
    <n v="0.61538461538461542"/>
    <n v="16"/>
  </r>
  <r>
    <x v="3"/>
    <s v="Meat"/>
    <s v="Lamb Chops"/>
    <s v="lb"/>
    <n v="9"/>
    <n v="9.18"/>
    <n v="2.02"/>
    <n v="18.18"/>
    <n v="76"/>
    <n v="7"/>
    <n v="45"/>
    <n v="0.40789473684210525"/>
    <n v="31"/>
  </r>
  <r>
    <x v="3"/>
    <s v="Meat"/>
    <s v="Turkey (whole, frozen)"/>
    <s v="lb"/>
    <n v="0.95"/>
    <n v="0.96899999999999997"/>
    <n v="1.97"/>
    <n v="1.8714999999999999"/>
    <n v="55"/>
    <n v="6"/>
    <n v="44"/>
    <n v="0.2"/>
    <n v="11"/>
  </r>
  <r>
    <x v="3"/>
    <s v="Meat"/>
    <s v="Ham (bone-in, smoked)"/>
    <s v="lb"/>
    <n v="1.85"/>
    <n v="1.8870000000000002"/>
    <n v="2.06"/>
    <n v="3.8110000000000004"/>
    <n v="64"/>
    <n v="8"/>
    <n v="0"/>
    <n v="1"/>
    <n v="64"/>
  </r>
  <r>
    <x v="3"/>
    <s v="Meat"/>
    <s v="Deli Turkey Breast (sliced)"/>
    <s v="lb"/>
    <n v="5.5"/>
    <n v="5.61"/>
    <n v="2.0300000000000002"/>
    <n v="11.165000000000001"/>
    <n v="39"/>
    <n v="4"/>
    <n v="18"/>
    <n v="0.53846153846153844"/>
    <n v="21"/>
  </r>
  <r>
    <x v="3"/>
    <s v="Meat"/>
    <s v="Hot Dogs (beef, standard pack)"/>
    <s v="lb"/>
    <n v="1.9"/>
    <n v="1.9379999999999999"/>
    <n v="2.08"/>
    <n v="3.952"/>
    <n v="84"/>
    <n v="1"/>
    <n v="75"/>
    <n v="0.10714285714285714"/>
    <n v="9"/>
  </r>
  <r>
    <x v="3"/>
    <s v="Meat"/>
    <s v="Meatballs (pre-cooked)"/>
    <s v="lb"/>
    <n v="2.75"/>
    <n v="2.8050000000000002"/>
    <n v="2"/>
    <n v="5.5"/>
    <n v="27"/>
    <n v="1"/>
    <n v="7"/>
    <n v="0.7407407407407407"/>
    <n v="20"/>
  </r>
  <r>
    <x v="3"/>
    <s v="Frozen"/>
    <s v="Frozen Pizza (12”)"/>
    <s v="each"/>
    <n v="3.25"/>
    <n v="3.3149999999999999"/>
    <n v="1.97"/>
    <n v="6.4024999999999999"/>
    <n v="159"/>
    <n v="1"/>
    <n v="108"/>
    <n v="0.32075471698113206"/>
    <n v="51"/>
  </r>
  <r>
    <x v="3"/>
    <s v="Frozen"/>
    <s v="Frozen Mixed Vegetables (16 oz)"/>
    <s v="each"/>
    <n v="0.9"/>
    <n v="0.91800000000000004"/>
    <n v="2.1"/>
    <n v="1.8900000000000001"/>
    <n v="65"/>
    <n v="4"/>
    <n v="11"/>
    <n v="0.83076923076923082"/>
    <n v="54"/>
  </r>
  <r>
    <x v="3"/>
    <s v="Frozen"/>
    <s v="Frozen French Fries (32 oz)"/>
    <s v="each"/>
    <n v="1.6"/>
    <n v="1.6320000000000001"/>
    <n v="1.98"/>
    <n v="3.1680000000000001"/>
    <n v="63"/>
    <n v="4"/>
    <n v="47"/>
    <n v="0.25396825396825395"/>
    <n v="16"/>
  </r>
  <r>
    <x v="3"/>
    <s v="Frozen"/>
    <s v="Frozen Broccoli Florets (16 oz)"/>
    <s v="each"/>
    <n v="1.1000000000000001"/>
    <n v="1.1220000000000001"/>
    <n v="1.98"/>
    <n v="2.1779999999999999"/>
    <n v="125"/>
    <n v="0"/>
    <n v="32"/>
    <n v="0.74399999999999999"/>
    <n v="93"/>
  </r>
  <r>
    <x v="3"/>
    <s v="Frozen"/>
    <s v="Frozen Corn (16 oz)"/>
    <s v="each"/>
    <n v="0.95"/>
    <n v="0.96899999999999997"/>
    <n v="1.98"/>
    <n v="1.881"/>
    <n v="136"/>
    <n v="6"/>
    <n v="44"/>
    <n v="0.67647058823529416"/>
    <n v="92"/>
  </r>
  <r>
    <x v="3"/>
    <s v="Frozen"/>
    <s v="Ice Cream (1.5 qt)"/>
    <s v="each"/>
    <n v="2.75"/>
    <n v="2.8050000000000002"/>
    <n v="2"/>
    <n v="5.5"/>
    <n v="64"/>
    <n v="4"/>
    <n v="25"/>
    <n v="0.609375"/>
    <n v="39"/>
  </r>
  <r>
    <x v="3"/>
    <s v="Frozen"/>
    <s v="Ice Cream Sandwiches (box of 6)"/>
    <s v="each"/>
    <n v="1.9"/>
    <n v="1.9379999999999999"/>
    <n v="1.99"/>
    <n v="3.7809999999999997"/>
    <n v="141"/>
    <n v="2"/>
    <n v="102"/>
    <n v="0.27659574468085107"/>
    <n v="39"/>
  </r>
  <r>
    <x v="3"/>
    <s v="Frozen"/>
    <s v="Frozen Chicken Nuggets (32 oz)"/>
    <s v="each"/>
    <n v="4"/>
    <n v="4.08"/>
    <n v="1.96"/>
    <n v="7.84"/>
    <n v="147"/>
    <n v="2"/>
    <n v="7"/>
    <n v="0.95238095238095233"/>
    <n v="140"/>
  </r>
  <r>
    <x v="3"/>
    <s v="Frozen"/>
    <s v="Frozen Burritos (individual)"/>
    <s v="each"/>
    <n v="0.8"/>
    <n v="0.81600000000000006"/>
    <n v="1.99"/>
    <n v="1.5920000000000001"/>
    <n v="115"/>
    <n v="2"/>
    <n v="24"/>
    <n v="0.79130434782608694"/>
    <n v="91"/>
  </r>
  <r>
    <x v="3"/>
    <s v="Frozen"/>
    <s v="Frozen Meatballs (26 oz bag)"/>
    <s v="each"/>
    <n v="4.25"/>
    <n v="4.335"/>
    <n v="2.0099999999999998"/>
    <n v="8.5424999999999986"/>
    <n v="81"/>
    <n v="0"/>
    <n v="45"/>
    <n v="0.44444444444444442"/>
    <n v="36"/>
  </r>
  <r>
    <x v="3"/>
    <s v="Frozen"/>
    <s v="Frozen Waffles (box of 10)"/>
    <s v="each"/>
    <n v="1.6"/>
    <n v="1.6320000000000001"/>
    <n v="2.08"/>
    <n v="3.3280000000000003"/>
    <n v="136"/>
    <n v="0"/>
    <n v="86"/>
    <n v="0.36764705882352944"/>
    <n v="50"/>
  </r>
  <r>
    <x v="3"/>
    <s v="Frozen"/>
    <s v="Frozen Pancakes (box of 12)"/>
    <s v="each"/>
    <n v="1.65"/>
    <n v="1.6829999999999998"/>
    <n v="1.99"/>
    <n v="3.2834999999999996"/>
    <n v="112"/>
    <n v="0"/>
    <n v="29"/>
    <n v="0.7410714285714286"/>
    <n v="83"/>
  </r>
  <r>
    <x v="3"/>
    <s v="Frozen"/>
    <s v="TV Dinner / Meal (10–12 oz)"/>
    <s v="each"/>
    <n v="2.2000000000000002"/>
    <n v="2.2440000000000002"/>
    <n v="1.99"/>
    <n v="4.3780000000000001"/>
    <n v="135"/>
    <n v="0"/>
    <n v="83"/>
    <n v="0.38518518518518519"/>
    <n v="52"/>
  </r>
  <r>
    <x v="3"/>
    <s v="Frozen"/>
    <s v="Frozen Fish Fillets (breaded, 24 oz)"/>
    <s v="each"/>
    <n v="4"/>
    <n v="4.08"/>
    <n v="2.02"/>
    <n v="8.08"/>
    <n v="100"/>
    <n v="2"/>
    <n v="81"/>
    <n v="0.19"/>
    <n v="19"/>
  </r>
  <r>
    <x v="3"/>
    <s v="Frozen"/>
    <s v="Frozen Shrimp (raw, peeled, 1 lb)"/>
    <s v="each"/>
    <n v="5.25"/>
    <n v="5.3550000000000004"/>
    <n v="1.99"/>
    <n v="10.4475"/>
    <n v="74"/>
    <n v="2"/>
    <n v="17"/>
    <n v="0.77027027027027029"/>
    <n v="57"/>
  </r>
  <r>
    <x v="3"/>
    <s v="Frozen"/>
    <s v="Frozen Fruit (Strawberries, 16 oz)"/>
    <s v="each"/>
    <n v="2"/>
    <n v="2.04"/>
    <n v="1.98"/>
    <n v="3.96"/>
    <n v="107"/>
    <n v="0"/>
    <n v="65"/>
    <n v="0.3925233644859813"/>
    <n v="42"/>
  </r>
  <r>
    <x v="3"/>
    <s v="Frozen"/>
    <s v="Frozen Pie (apple, 8”)"/>
    <s v="each"/>
    <n v="2.8"/>
    <n v="2.8559999999999999"/>
    <n v="2.1"/>
    <n v="5.88"/>
    <n v="112"/>
    <n v="5"/>
    <n v="67"/>
    <n v="0.4017857142857143"/>
    <n v="45"/>
  </r>
  <r>
    <x v="3"/>
    <s v="Frozen"/>
    <s v="Frozen Garlic Bread (16 oz)"/>
    <s v="each"/>
    <n v="1.35"/>
    <n v="1.3770000000000002"/>
    <n v="2.09"/>
    <n v="2.8214999999999999"/>
    <n v="111"/>
    <n v="1"/>
    <n v="93"/>
    <n v="0.16216216216216217"/>
    <n v="18"/>
  </r>
  <r>
    <x v="3"/>
    <s v="Frozen"/>
    <s v="Frozen Breakfast Sandwich (2-pack)"/>
    <s v="each"/>
    <n v="2.25"/>
    <n v="2.2949999999999999"/>
    <n v="2.02"/>
    <n v="4.5449999999999999"/>
    <n v="71"/>
    <n v="7"/>
    <n v="32"/>
    <n v="0.54929577464788737"/>
    <n v="39"/>
  </r>
  <r>
    <x v="3"/>
    <s v="Frozen"/>
    <s v="Frozen Veggie Burgers (4-pack)"/>
    <s v="each"/>
    <n v="2.8"/>
    <n v="2.8559999999999999"/>
    <n v="2.0700000000000003"/>
    <n v="5.7960000000000003"/>
    <n v="107"/>
    <n v="8"/>
    <n v="35"/>
    <n v="0.67289719626168221"/>
    <n v="72"/>
  </r>
  <r>
    <x v="3"/>
    <s v="Deli"/>
    <s v="Sliced Turkey Breast"/>
    <s v="lb"/>
    <n v="5.25"/>
    <n v="5.3550000000000004"/>
    <n v="2.0300000000000002"/>
    <n v="10.657500000000001"/>
    <n v="87"/>
    <n v="0"/>
    <n v="81"/>
    <n v="6.8965517241379309E-2"/>
    <n v="6"/>
  </r>
  <r>
    <x v="3"/>
    <s v="Deli"/>
    <s v="Sliced Ham (Honey or Black Forest)"/>
    <s v="lb"/>
    <n v="4.75"/>
    <n v="4.8449999999999998"/>
    <n v="2.02"/>
    <n v="9.5950000000000006"/>
    <n v="115"/>
    <n v="2"/>
    <n v="100"/>
    <n v="0.13043478260869565"/>
    <n v="15"/>
  </r>
  <r>
    <x v="3"/>
    <s v="Deli"/>
    <s v="Roast Beef (sliced)"/>
    <s v="lb"/>
    <n v="6.5"/>
    <n v="6.63"/>
    <n v="2.0300000000000002"/>
    <n v="13.195000000000002"/>
    <n v="78"/>
    <n v="0"/>
    <n v="18"/>
    <n v="0.76923076923076927"/>
    <n v="60"/>
  </r>
  <r>
    <x v="3"/>
    <s v="Deli"/>
    <s v="Genoa Salami"/>
    <s v="lb"/>
    <n v="5.75"/>
    <n v="5.8650000000000002"/>
    <n v="2.06"/>
    <n v="11.845000000000001"/>
    <n v="81"/>
    <n v="2"/>
    <n v="27"/>
    <n v="0.66666666666666663"/>
    <n v="54"/>
  </r>
  <r>
    <x v="3"/>
    <s v="Deli"/>
    <s v="Hard Salami"/>
    <s v="lb"/>
    <n v="5.5"/>
    <n v="5.61"/>
    <n v="2"/>
    <n v="11"/>
    <n v="71"/>
    <n v="3"/>
    <n v="39"/>
    <n v="0.45070422535211269"/>
    <n v="32"/>
  </r>
  <r>
    <x v="3"/>
    <s v="Deli"/>
    <s v="Pepperoni (sliced)"/>
    <s v="lb"/>
    <n v="4.25"/>
    <n v="4.335"/>
    <n v="1.97"/>
    <n v="8.3725000000000005"/>
    <n v="99"/>
    <n v="0"/>
    <n v="83"/>
    <n v="0.16161616161616163"/>
    <n v="16"/>
  </r>
  <r>
    <x v="3"/>
    <s v="Deli"/>
    <s v="Chicken Breast (sliced)"/>
    <s v="lb"/>
    <n v="5.0999999999999996"/>
    <n v="5.202"/>
    <n v="2.0499999999999998"/>
    <n v="10.454999999999998"/>
    <n v="44"/>
    <n v="2"/>
    <n v="32"/>
    <n v="0.27272727272727271"/>
    <n v="12"/>
  </r>
  <r>
    <x v="3"/>
    <s v="Deli"/>
    <s v="Bologna"/>
    <s v="lb"/>
    <n v="2.8"/>
    <n v="2.8559999999999999"/>
    <n v="2.0700000000000003"/>
    <n v="5.7960000000000003"/>
    <n v="83"/>
    <n v="0"/>
    <n v="75"/>
    <n v="9.6385542168674704E-2"/>
    <n v="8"/>
  </r>
  <r>
    <x v="3"/>
    <s v="Deli"/>
    <s v="Mortadella"/>
    <s v="lb"/>
    <n v="4"/>
    <n v="4.08"/>
    <n v="1.97"/>
    <n v="7.88"/>
    <n v="89"/>
    <n v="0"/>
    <n v="14"/>
    <n v="0.84269662921348309"/>
    <n v="75"/>
  </r>
  <r>
    <x v="3"/>
    <s v="Deli"/>
    <s v="Prosciutto"/>
    <s v="lb"/>
    <n v="9"/>
    <n v="9.18"/>
    <n v="2.0300000000000002"/>
    <n v="18.270000000000003"/>
    <n v="37"/>
    <n v="3"/>
    <n v="1"/>
    <n v="0.97297297297297303"/>
    <n v="36"/>
  </r>
  <r>
    <x v="3"/>
    <s v="Deli"/>
    <s v="American Cheese (processed)"/>
    <s v="lb"/>
    <n v="2.75"/>
    <n v="2.8050000000000002"/>
    <n v="1.96"/>
    <n v="5.39"/>
    <n v="82"/>
    <n v="1"/>
    <n v="62"/>
    <n v="0.24390243902439024"/>
    <n v="20"/>
  </r>
  <r>
    <x v="3"/>
    <s v="Deli"/>
    <s v="Cheddar Cheese (sharp)"/>
    <s v="lb"/>
    <n v="3.9"/>
    <n v="3.9779999999999998"/>
    <n v="2.02"/>
    <n v="7.8780000000000001"/>
    <n v="89"/>
    <n v="2"/>
    <n v="28"/>
    <n v="0.6853932584269663"/>
    <n v="61"/>
  </r>
  <r>
    <x v="3"/>
    <s v="Deli"/>
    <s v="Swiss Cheese"/>
    <s v="lb"/>
    <n v="4.3"/>
    <n v="4.3860000000000001"/>
    <n v="1.99"/>
    <n v="8.5570000000000004"/>
    <n v="34"/>
    <n v="1"/>
    <n v="9"/>
    <n v="0.73529411764705888"/>
    <n v="25"/>
  </r>
  <r>
    <x v="3"/>
    <s v="Deli"/>
    <s v="Provolone Cheese"/>
    <s v="lb"/>
    <n v="4"/>
    <n v="4.08"/>
    <n v="2.0099999999999998"/>
    <n v="8.0399999999999991"/>
    <n v="97"/>
    <n v="9"/>
    <n v="65"/>
    <n v="0.32989690721649484"/>
    <n v="32"/>
  </r>
  <r>
    <x v="3"/>
    <s v="Deli"/>
    <s v="Mozzarella (fresh, sliced)"/>
    <s v="lb"/>
    <n v="4.75"/>
    <n v="4.8449999999999998"/>
    <n v="2.0300000000000002"/>
    <n v="9.6425000000000018"/>
    <n v="35"/>
    <n v="0"/>
    <n v="10"/>
    <n v="0.7142857142857143"/>
    <n v="25"/>
  </r>
  <r>
    <x v="3"/>
    <s v="Deli"/>
    <s v="Coleslaw (prepared)"/>
    <s v="lb"/>
    <n v="2.25"/>
    <n v="2.2949999999999999"/>
    <n v="1.96"/>
    <n v="4.41"/>
    <n v="76"/>
    <n v="2"/>
    <n v="9"/>
    <n v="0.88157894736842102"/>
    <n v="67"/>
  </r>
  <r>
    <x v="3"/>
    <s v="Deli"/>
    <s v="Potato Salad (prepared)"/>
    <s v="lb"/>
    <n v="2.1"/>
    <n v="2.1420000000000003"/>
    <n v="1.98"/>
    <n v="4.1580000000000004"/>
    <n v="84"/>
    <n v="3"/>
    <n v="13"/>
    <n v="0.84523809523809523"/>
    <n v="71"/>
  </r>
  <r>
    <x v="3"/>
    <s v="Deli"/>
    <s v="Macaroni Salad"/>
    <s v="lb"/>
    <n v="2"/>
    <n v="2.04"/>
    <n v="2"/>
    <n v="4"/>
    <n v="69"/>
    <n v="1"/>
    <n v="50"/>
    <n v="0.27536231884057971"/>
    <n v="19"/>
  </r>
  <r>
    <x v="3"/>
    <s v="Deli"/>
    <s v="Rotisserie Chicken (whole)"/>
    <s v="each"/>
    <n v="4.5"/>
    <n v="4.59"/>
    <n v="1.97"/>
    <n v="8.8650000000000002"/>
    <n v="81"/>
    <n v="9"/>
    <n v="72"/>
    <n v="0.1111111111111111"/>
    <n v="9"/>
  </r>
  <r>
    <x v="3"/>
    <s v="Deli"/>
    <s v="Deli Sandwich (made to order)"/>
    <s v="each"/>
    <n v="3.75"/>
    <n v="3.8250000000000002"/>
    <n v="2.04"/>
    <n v="7.65"/>
    <n v="45"/>
    <n v="4"/>
    <n v="38"/>
    <n v="0.15555555555555556"/>
    <n v="7"/>
  </r>
  <r>
    <x v="3"/>
    <s v="Dairy"/>
    <s v="Whole Milk (1 gallon)"/>
    <s v="each"/>
    <n v="2"/>
    <n v="2.04"/>
    <n v="2.04"/>
    <n v="4.08"/>
    <n v="72"/>
    <n v="3"/>
    <n v="27"/>
    <n v="0.625"/>
    <n v="45"/>
  </r>
  <r>
    <x v="3"/>
    <s v="Dairy"/>
    <s v="2% Milk (1 gallon)"/>
    <s v="each"/>
    <n v="1.95"/>
    <n v="1.9889999999999999"/>
    <n v="2"/>
    <n v="3.9"/>
    <n v="173"/>
    <n v="4"/>
    <n v="2"/>
    <n v="0.98843930635838151"/>
    <n v="171"/>
  </r>
  <r>
    <x v="3"/>
    <s v="Dairy"/>
    <s v="Skim Milk (1 gallon)"/>
    <s v="each"/>
    <n v="1.9"/>
    <n v="1.9379999999999999"/>
    <n v="2.06"/>
    <n v="3.9139999999999997"/>
    <n v="165"/>
    <n v="8"/>
    <n v="83"/>
    <n v="0.49696969696969695"/>
    <n v="82"/>
  </r>
  <r>
    <x v="3"/>
    <s v="Dairy"/>
    <s v="Organic Milk (1/2 gallon)"/>
    <s v="each"/>
    <n v="3.1"/>
    <n v="3.1620000000000004"/>
    <n v="2.02"/>
    <n v="6.2620000000000005"/>
    <n v="89"/>
    <n v="7"/>
    <n v="69"/>
    <n v="0.2247191011235955"/>
    <n v="20"/>
  </r>
  <r>
    <x v="3"/>
    <s v="Dairy"/>
    <s v="Heavy Whipping Cream (pint)"/>
    <s v="each"/>
    <n v="2"/>
    <n v="2.04"/>
    <n v="2.0099999999999998"/>
    <n v="4.0199999999999996"/>
    <n v="78"/>
    <n v="4"/>
    <n v="26"/>
    <n v="0.66666666666666663"/>
    <n v="52"/>
  </r>
  <r>
    <x v="3"/>
    <s v="Dairy"/>
    <s v="Half &amp; Half (quart)"/>
    <s v="each"/>
    <n v="1.7"/>
    <n v="1.734"/>
    <n v="2.06"/>
    <n v="3.5019999999999998"/>
    <n v="76"/>
    <n v="4"/>
    <n v="1"/>
    <n v="0.98684210526315785"/>
    <n v="75"/>
  </r>
  <r>
    <x v="3"/>
    <s v="Dairy"/>
    <s v="Buttermilk (quart)"/>
    <s v="each"/>
    <n v="1.5"/>
    <n v="1.53"/>
    <n v="2.0099999999999998"/>
    <n v="3.0149999999999997"/>
    <n v="179"/>
    <n v="0"/>
    <n v="92"/>
    <n v="0.48603351955307261"/>
    <n v="87"/>
  </r>
  <r>
    <x v="3"/>
    <s v="Dairy"/>
    <s v="Butter (salted, 1 lb)"/>
    <s v="each"/>
    <n v="2.65"/>
    <n v="2.7029999999999998"/>
    <n v="2.0300000000000002"/>
    <n v="5.3795000000000002"/>
    <n v="122"/>
    <n v="0"/>
    <n v="37"/>
    <n v="0.69672131147540983"/>
    <n v="85"/>
  </r>
  <r>
    <x v="3"/>
    <s v="Dairy"/>
    <s v="Margarine (1 lb)"/>
    <s v="each"/>
    <n v="1.2"/>
    <n v="1.224"/>
    <n v="2.04"/>
    <n v="2.448"/>
    <n v="78"/>
    <n v="2"/>
    <n v="2"/>
    <n v="0.97435897435897434"/>
    <n v="76"/>
  </r>
  <r>
    <x v="3"/>
    <s v="Dairy"/>
    <s v="Sour Cream (16 oz)"/>
    <s v="each"/>
    <n v="1.4"/>
    <n v="1.4279999999999999"/>
    <n v="2.0700000000000003"/>
    <n v="2.8980000000000001"/>
    <n v="151"/>
    <n v="0"/>
    <n v="143"/>
    <n v="5.2980132450331126E-2"/>
    <n v="8"/>
  </r>
  <r>
    <x v="3"/>
    <s v="Dairy"/>
    <s v="Cottage Cheese (16 oz)"/>
    <s v="each"/>
    <n v="1.6"/>
    <n v="1.6320000000000001"/>
    <n v="1.99"/>
    <n v="3.1840000000000002"/>
    <n v="117"/>
    <n v="2"/>
    <n v="93"/>
    <n v="0.20512820512820512"/>
    <n v="24"/>
  </r>
  <r>
    <x v="3"/>
    <s v="Dairy"/>
    <s v="Greek Yogurt (single 5.3 oz cup)"/>
    <s v="each"/>
    <n v="0.7"/>
    <n v="0.71399999999999997"/>
    <n v="2.0099999999999998"/>
    <n v="1.4069999999999998"/>
    <n v="114"/>
    <n v="0"/>
    <n v="39"/>
    <n v="0.65789473684210531"/>
    <n v="75"/>
  </r>
  <r>
    <x v="3"/>
    <s v="Dairy"/>
    <s v="Yogurt (regular, 6 oz)"/>
    <s v="each"/>
    <n v="0.55000000000000004"/>
    <n v="0.56100000000000005"/>
    <n v="2.08"/>
    <n v="1.1440000000000001"/>
    <n v="149"/>
    <n v="1"/>
    <n v="1"/>
    <n v="0.99328859060402686"/>
    <n v="148"/>
  </r>
  <r>
    <x v="3"/>
    <s v="Dairy"/>
    <s v="Cream Cheese (8 oz block)"/>
    <s v="each"/>
    <n v="1.4"/>
    <n v="1.4279999999999999"/>
    <n v="1.95"/>
    <n v="2.73"/>
    <n v="160"/>
    <n v="4"/>
    <n v="80"/>
    <n v="0.5"/>
    <n v="80"/>
  </r>
  <r>
    <x v="3"/>
    <s v="Dairy"/>
    <s v="Shredded Cheese (8 oz bag)"/>
    <s v="each"/>
    <n v="2"/>
    <n v="2.04"/>
    <n v="1.95"/>
    <n v="3.9"/>
    <n v="149"/>
    <n v="8"/>
    <n v="11"/>
    <n v="0.9261744966442953"/>
    <n v="138"/>
  </r>
  <r>
    <x v="3"/>
    <s v="Dairy"/>
    <s v="Sliced Cheese (8 oz)"/>
    <s v="each"/>
    <n v="2.25"/>
    <n v="2.2949999999999999"/>
    <n v="1.98"/>
    <n v="4.4550000000000001"/>
    <n v="176"/>
    <n v="0"/>
    <n v="162"/>
    <n v="7.9545454545454544E-2"/>
    <n v="14"/>
  </r>
  <r>
    <x v="3"/>
    <s v="Dairy"/>
    <s v="Cheddar Cheese Block (1 lb)"/>
    <s v="each"/>
    <n v="3.4"/>
    <n v="3.468"/>
    <n v="2.06"/>
    <n v="7.0039999999999996"/>
    <n v="121"/>
    <n v="2"/>
    <n v="106"/>
    <n v="0.12396694214876033"/>
    <n v="15"/>
  </r>
  <r>
    <x v="3"/>
    <s v="Dairy"/>
    <s v="Mozzarella (low moisture, 1 lb)"/>
    <s v="each"/>
    <n v="3.1"/>
    <n v="3.1620000000000004"/>
    <n v="1.98"/>
    <n v="6.1379999999999999"/>
    <n v="82"/>
    <n v="6"/>
    <n v="64"/>
    <n v="0.21951219512195122"/>
    <n v="18"/>
  </r>
  <r>
    <x v="3"/>
    <s v="Dairy"/>
    <s v="Eggs (dozen, large, Grade A)"/>
    <s v="each"/>
    <n v="1.5"/>
    <n v="1.53"/>
    <n v="2"/>
    <n v="3"/>
    <n v="68"/>
    <n v="0"/>
    <n v="54"/>
    <n v="0.20588235294117646"/>
    <n v="14"/>
  </r>
  <r>
    <x v="3"/>
    <s v="Dairy"/>
    <s v="Egg Substitute (16 oz carton)"/>
    <s v="each"/>
    <n v="1.9"/>
    <n v="1.9379999999999999"/>
    <n v="2.09"/>
    <n v="3.9709999999999996"/>
    <n v="71"/>
    <n v="5"/>
    <n v="44"/>
    <n v="0.38028169014084506"/>
    <n v="27"/>
  </r>
  <r>
    <x v="3"/>
    <s v="Bakery"/>
    <s v="White Sandwich Bread (loaf)"/>
    <s v="each"/>
    <n v="1.3"/>
    <n v="1.3260000000000001"/>
    <n v="1.99"/>
    <n v="2.5870000000000002"/>
    <n v="40"/>
    <n v="1"/>
    <n v="14"/>
    <n v="0.65"/>
    <n v="26"/>
  </r>
  <r>
    <x v="3"/>
    <s v="Bakery"/>
    <s v="Whole Wheat Bread (loaf)"/>
    <s v="each"/>
    <n v="1.6"/>
    <n v="1.6320000000000001"/>
    <n v="2.0700000000000003"/>
    <n v="3.3120000000000007"/>
    <n v="97"/>
    <n v="1"/>
    <n v="89"/>
    <n v="8.247422680412371E-2"/>
    <n v="8"/>
  </r>
  <r>
    <x v="3"/>
    <s v="Bakery"/>
    <s v="French Baguette"/>
    <s v="each"/>
    <n v="1.35"/>
    <n v="1.3770000000000002"/>
    <n v="2.09"/>
    <n v="2.8214999999999999"/>
    <n v="40"/>
    <n v="9"/>
    <n v="4"/>
    <n v="0.9"/>
    <n v="36"/>
  </r>
  <r>
    <x v="3"/>
    <s v="Bakery"/>
    <s v="Italian Bread (loaf)"/>
    <s v="each"/>
    <n v="1.6"/>
    <n v="1.6320000000000001"/>
    <n v="1.95"/>
    <n v="3.12"/>
    <n v="73"/>
    <n v="0"/>
    <n v="61"/>
    <n v="0.16438356164383561"/>
    <n v="12"/>
  </r>
  <r>
    <x v="3"/>
    <s v="Bakery"/>
    <s v="Dinner Rolls (12-pack)"/>
    <s v="each"/>
    <n v="2.1"/>
    <n v="2.1420000000000003"/>
    <n v="1.95"/>
    <n v="4.0949999999999998"/>
    <n v="135"/>
    <n v="3"/>
    <n v="48"/>
    <n v="0.64444444444444449"/>
    <n v="87"/>
  </r>
  <r>
    <x v="3"/>
    <s v="Bakery"/>
    <s v="Kaiser Rolls (6-pack)"/>
    <s v="each"/>
    <n v="1.85"/>
    <n v="1.8870000000000002"/>
    <n v="2.06"/>
    <n v="3.8110000000000004"/>
    <n v="87"/>
    <n v="5"/>
    <n v="24"/>
    <n v="0.72413793103448276"/>
    <n v="63"/>
  </r>
  <r>
    <x v="3"/>
    <s v="Bakery"/>
    <s v="Hamburger Buns (8-pack)"/>
    <s v="each"/>
    <n v="1.55"/>
    <n v="1.5810000000000002"/>
    <n v="2.06"/>
    <n v="3.1930000000000001"/>
    <n v="128"/>
    <n v="0"/>
    <n v="22"/>
    <n v="0.828125"/>
    <n v="106"/>
  </r>
  <r>
    <x v="3"/>
    <s v="Bakery"/>
    <s v="Hot Dog Buns (8-pack)"/>
    <s v="each"/>
    <n v="1.55"/>
    <n v="1.5810000000000002"/>
    <n v="2.09"/>
    <n v="3.2395"/>
    <n v="143"/>
    <n v="3"/>
    <n v="37"/>
    <n v="0.74125874125874125"/>
    <n v="106"/>
  </r>
  <r>
    <x v="3"/>
    <s v="Bakery"/>
    <s v="English Muffins (6-pack)"/>
    <s v="each"/>
    <n v="1.75"/>
    <n v="1.7850000000000001"/>
    <n v="2.1"/>
    <n v="3.6750000000000003"/>
    <n v="148"/>
    <n v="8"/>
    <n v="27"/>
    <n v="0.81756756756756754"/>
    <n v="121"/>
  </r>
  <r>
    <x v="3"/>
    <s v="Bakery"/>
    <s v="Bagels (6-pack)"/>
    <s v="each"/>
    <n v="2.2000000000000002"/>
    <n v="2.2440000000000002"/>
    <n v="2.1"/>
    <n v="4.620000000000001"/>
    <n v="40"/>
    <n v="0"/>
    <n v="20"/>
    <n v="0.5"/>
    <n v="20"/>
  </r>
  <r>
    <x v="3"/>
    <s v="Bakery"/>
    <s v="Croissants (4-pack)"/>
    <s v="each"/>
    <n v="2.75"/>
    <n v="2.8050000000000002"/>
    <n v="2.02"/>
    <n v="5.5549999999999997"/>
    <n v="55"/>
    <n v="6"/>
    <n v="42"/>
    <n v="0.23636363636363636"/>
    <n v="13"/>
  </r>
  <r>
    <x v="3"/>
    <s v="Bakery"/>
    <s v="Muffins (4-pack, assorted)"/>
    <s v="each"/>
    <n v="2.4"/>
    <n v="2.448"/>
    <n v="2.0700000000000003"/>
    <n v="4.9680000000000009"/>
    <n v="100"/>
    <n v="2"/>
    <n v="17"/>
    <n v="0.83"/>
    <n v="83"/>
  </r>
  <r>
    <x v="3"/>
    <s v="Bakery"/>
    <s v="Donuts (6-pack, glazed)"/>
    <s v="each"/>
    <n v="2.7"/>
    <n v="2.7540000000000004"/>
    <n v="2.08"/>
    <n v="5.6160000000000005"/>
    <n v="142"/>
    <n v="3"/>
    <n v="98"/>
    <n v="0.30985915492957744"/>
    <n v="44"/>
  </r>
  <r>
    <x v="3"/>
    <s v="Bakery"/>
    <s v="Danish Pastries (4-pack)"/>
    <s v="each"/>
    <n v="2.6"/>
    <n v="2.6520000000000001"/>
    <n v="2.04"/>
    <n v="5.3040000000000003"/>
    <n v="103"/>
    <n v="3"/>
    <n v="44"/>
    <n v="0.57281553398058249"/>
    <n v="59"/>
  </r>
  <r>
    <x v="3"/>
    <s v="Bakery"/>
    <s v="Apple Pie (9”)"/>
    <s v="each"/>
    <n v="4"/>
    <n v="4.08"/>
    <n v="2.02"/>
    <n v="8.08"/>
    <n v="102"/>
    <n v="1"/>
    <n v="72"/>
    <n v="0.29411764705882354"/>
    <n v="30"/>
  </r>
  <r>
    <x v="3"/>
    <s v="Bakery"/>
    <s v="Pumpkin Pie (9”)"/>
    <s v="each"/>
    <n v="4.25"/>
    <n v="4.335"/>
    <n v="2.0300000000000002"/>
    <n v="8.6275000000000013"/>
    <n v="108"/>
    <n v="7"/>
    <n v="52"/>
    <n v="0.51851851851851849"/>
    <n v="56"/>
  </r>
  <r>
    <x v="3"/>
    <s v="Bakery"/>
    <s v="Chocolate Cake (single layer)"/>
    <s v="each"/>
    <n v="5"/>
    <n v="5.0999999999999996"/>
    <n v="1.99"/>
    <n v="9.9499999999999993"/>
    <n v="61"/>
    <n v="8"/>
    <n v="37"/>
    <n v="0.39344262295081966"/>
    <n v="24"/>
  </r>
  <r>
    <x v="3"/>
    <s v="Bakery"/>
    <s v="Cupcakes (6-pack)"/>
    <s v="each"/>
    <n v="3"/>
    <n v="3.06"/>
    <n v="2"/>
    <n v="6"/>
    <n v="132"/>
    <n v="3"/>
    <n v="121"/>
    <n v="8.3333333333333329E-2"/>
    <n v="11"/>
  </r>
  <r>
    <x v="3"/>
    <s v="Bakery"/>
    <s v="Brownies (6-pack)"/>
    <s v="each"/>
    <n v="2.4"/>
    <n v="2.448"/>
    <n v="2.06"/>
    <n v="4.944"/>
    <n v="106"/>
    <n v="5"/>
    <n v="29"/>
    <n v="0.72641509433962259"/>
    <n v="77"/>
  </r>
  <r>
    <x v="3"/>
    <s v="Bakery"/>
    <s v="Coffee Cake (whole)"/>
    <s v="each"/>
    <n v="3.25"/>
    <n v="3.3149999999999999"/>
    <n v="2.1"/>
    <n v="6.8250000000000002"/>
    <n v="115"/>
    <n v="3"/>
    <n v="59"/>
    <n v="0.48695652173913045"/>
    <n v="56"/>
  </r>
  <r>
    <x v="4"/>
    <s v="Produce"/>
    <s v="Bananas"/>
    <s v="lb"/>
    <n v="0.35"/>
    <n v="0.34299999999999997"/>
    <n v="2.02"/>
    <n v="0.70699999999999996"/>
    <n v="193"/>
    <n v="2"/>
    <n v="107"/>
    <n v="0.44559585492227977"/>
    <n v="86"/>
  </r>
  <r>
    <x v="4"/>
    <s v="Produce"/>
    <s v="Apples (Gala)"/>
    <s v="lb"/>
    <n v="0.85"/>
    <n v="0.83299999999999996"/>
    <n v="1.96"/>
    <n v="1.6659999999999999"/>
    <n v="135"/>
    <n v="3"/>
    <n v="97"/>
    <n v="0.2814814814814815"/>
    <n v="38"/>
  </r>
  <r>
    <x v="4"/>
    <s v="Produce"/>
    <s v="Oranges (Navel)"/>
    <s v="lb"/>
    <n v="0.7"/>
    <n v="0.68599999999999994"/>
    <n v="1.97"/>
    <n v="1.379"/>
    <n v="78"/>
    <n v="2"/>
    <n v="31"/>
    <n v="0.60256410256410253"/>
    <n v="47"/>
  </r>
  <r>
    <x v="4"/>
    <s v="Produce"/>
    <s v="Lemons"/>
    <s v="each"/>
    <n v="0.35"/>
    <n v="0.34299999999999997"/>
    <n v="1.96"/>
    <n v="0.68599999999999994"/>
    <n v="118"/>
    <n v="2"/>
    <n v="66"/>
    <n v="0.44067796610169491"/>
    <n v="52"/>
  </r>
  <r>
    <x v="4"/>
    <s v="Produce"/>
    <s v="Limes"/>
    <s v="each"/>
    <n v="0.2"/>
    <n v="0.19600000000000001"/>
    <n v="2.04"/>
    <n v="0.40800000000000003"/>
    <n v="96"/>
    <n v="5"/>
    <n v="66"/>
    <n v="0.3125"/>
    <n v="30"/>
  </r>
  <r>
    <x v="4"/>
    <s v="Produce"/>
    <s v="Avocados (Hass)"/>
    <s v="each"/>
    <n v="0.75"/>
    <n v="0.73499999999999999"/>
    <n v="2"/>
    <n v="1.5"/>
    <n v="143"/>
    <n v="2"/>
    <n v="78"/>
    <n v="0.45454545454545453"/>
    <n v="65"/>
  </r>
  <r>
    <x v="4"/>
    <s v="Produce"/>
    <s v="Tomatoes (Roma)"/>
    <s v="lb"/>
    <n v="0.6"/>
    <n v="0.58799999999999997"/>
    <n v="1.96"/>
    <n v="1.1759999999999999"/>
    <n v="193"/>
    <n v="0"/>
    <n v="40"/>
    <n v="0.79274611398963735"/>
    <n v="153"/>
  </r>
  <r>
    <x v="4"/>
    <s v="Produce"/>
    <s v="Potatoes (Russet)"/>
    <s v="lb"/>
    <n v="0.45"/>
    <n v="0.441"/>
    <n v="1.95"/>
    <n v="0.87749999999999995"/>
    <n v="134"/>
    <n v="0"/>
    <n v="62"/>
    <n v="0.53731343283582089"/>
    <n v="72"/>
  </r>
  <r>
    <x v="4"/>
    <s v="Produce"/>
    <s v="Onions (Yellow)"/>
    <s v="lb"/>
    <n v="0.4"/>
    <n v="0.39200000000000002"/>
    <n v="1.97"/>
    <n v="0.78800000000000003"/>
    <n v="88"/>
    <n v="1"/>
    <n v="22"/>
    <n v="0.75"/>
    <n v="66"/>
  </r>
  <r>
    <x v="4"/>
    <s v="Produce"/>
    <s v="Carrots"/>
    <s v="lb"/>
    <n v="0.35"/>
    <n v="0.34299999999999997"/>
    <n v="2.02"/>
    <n v="0.70699999999999996"/>
    <n v="149"/>
    <n v="4"/>
    <n v="103"/>
    <n v="0.3087248322147651"/>
    <n v="46"/>
  </r>
  <r>
    <x v="4"/>
    <s v="Produce"/>
    <s v="Broccoli"/>
    <s v="lb"/>
    <n v="0.9"/>
    <n v="0.88200000000000001"/>
    <n v="2.04"/>
    <n v="1.8360000000000001"/>
    <n v="82"/>
    <n v="2"/>
    <n v="74"/>
    <n v="9.7560975609756101E-2"/>
    <n v="8"/>
  </r>
  <r>
    <x v="4"/>
    <s v="Produce"/>
    <s v="Lettuce (Romaine)"/>
    <s v="each"/>
    <n v="1"/>
    <n v="0.98"/>
    <n v="1.95"/>
    <n v="1.95"/>
    <n v="150"/>
    <n v="3"/>
    <n v="47"/>
    <n v="0.68666666666666665"/>
    <n v="103"/>
  </r>
  <r>
    <x v="4"/>
    <s v="Produce"/>
    <s v="Spinach (bagged)"/>
    <s v="lb"/>
    <n v="2.56"/>
    <n v="2.5087999999999999"/>
    <n v="1.98"/>
    <n v="5.0688000000000004"/>
    <n v="72"/>
    <n v="2"/>
    <n v="31"/>
    <n v="0.56944444444444442"/>
    <n v="41"/>
  </r>
  <r>
    <x v="4"/>
    <s v="Produce"/>
    <s v="Bell Peppers (Green)"/>
    <s v="lb"/>
    <n v="0.75"/>
    <n v="0.73499999999999999"/>
    <n v="2.1"/>
    <n v="1.5750000000000002"/>
    <n v="59"/>
    <n v="3"/>
    <n v="56"/>
    <n v="5.0847457627118647E-2"/>
    <n v="3"/>
  </r>
  <r>
    <x v="4"/>
    <s v="Produce"/>
    <s v="Cucumbers"/>
    <s v="each"/>
    <n v="0.4"/>
    <n v="0.39200000000000002"/>
    <n v="1.97"/>
    <n v="0.78800000000000003"/>
    <n v="118"/>
    <n v="1"/>
    <n v="117"/>
    <n v="8.4745762711864406E-3"/>
    <n v="1"/>
  </r>
  <r>
    <x v="4"/>
    <s v="Produce"/>
    <s v="Grapes (Red Seedless)"/>
    <s v="lb"/>
    <n v="1.4"/>
    <n v="1.3719999999999999"/>
    <n v="2.0700000000000003"/>
    <n v="2.8980000000000001"/>
    <n v="149"/>
    <n v="2"/>
    <n v="99"/>
    <n v="0.33557046979865773"/>
    <n v="50"/>
  </r>
  <r>
    <x v="4"/>
    <s v="Produce"/>
    <s v="Strawberries (1 lb)"/>
    <s v="lb"/>
    <n v="2"/>
    <n v="1.96"/>
    <n v="2.0700000000000003"/>
    <n v="4.1400000000000006"/>
    <n v="83"/>
    <n v="4"/>
    <n v="32"/>
    <n v="0.61445783132530118"/>
    <n v="51"/>
  </r>
  <r>
    <x v="4"/>
    <s v="Produce"/>
    <s v="Blueberries"/>
    <s v="lb"/>
    <n v="0.45"/>
    <n v="0.441"/>
    <n v="1.96"/>
    <n v="0.88200000000000001"/>
    <n v="187"/>
    <n v="6"/>
    <n v="151"/>
    <n v="0.19251336898395721"/>
    <n v="36"/>
  </r>
  <r>
    <x v="4"/>
    <s v="Produce"/>
    <s v="Pineapple"/>
    <s v="each"/>
    <n v="1.9"/>
    <n v="1.8619999999999999"/>
    <n v="2.0700000000000003"/>
    <n v="3.9330000000000003"/>
    <n v="196"/>
    <n v="1"/>
    <n v="166"/>
    <n v="0.15306122448979592"/>
    <n v="30"/>
  </r>
  <r>
    <x v="4"/>
    <s v="Produce"/>
    <s v="Watermelon (whole)"/>
    <s v="each"/>
    <n v="4"/>
    <n v="3.92"/>
    <n v="2.0700000000000003"/>
    <n v="8.2800000000000011"/>
    <n v="145"/>
    <n v="0"/>
    <n v="33"/>
    <n v="0.77241379310344827"/>
    <n v="112"/>
  </r>
  <r>
    <x v="4"/>
    <s v="Meat"/>
    <s v="Ground Beef (80/20)"/>
    <s v="lb"/>
    <n v="2.85"/>
    <n v="2.7930000000000001"/>
    <n v="2.0700000000000003"/>
    <n v="5.8995000000000006"/>
    <n v="20"/>
    <n v="0"/>
    <n v="4"/>
    <n v="0.8"/>
    <n v="16"/>
  </r>
  <r>
    <x v="4"/>
    <s v="Meat"/>
    <s v="Ground Turkey"/>
    <s v="lb"/>
    <n v="2.5"/>
    <n v="2.4500000000000002"/>
    <n v="2.04"/>
    <n v="5.0999999999999996"/>
    <n v="88"/>
    <n v="0"/>
    <n v="6"/>
    <n v="0.93181818181818177"/>
    <n v="82"/>
  </r>
  <r>
    <x v="4"/>
    <s v="Meat"/>
    <s v="Boneless Skinless Chicken Breast"/>
    <s v="lb"/>
    <n v="2.1"/>
    <n v="2.0579999999999998"/>
    <n v="2.0700000000000003"/>
    <n v="4.3470000000000004"/>
    <n v="23"/>
    <n v="3"/>
    <n v="3"/>
    <n v="0.86956521739130432"/>
    <n v="20"/>
  </r>
  <r>
    <x v="4"/>
    <s v="Meat"/>
    <s v="Chicken Thighs (bone-in)"/>
    <s v="lb"/>
    <n v="1"/>
    <n v="0.98"/>
    <n v="2.02"/>
    <n v="2.02"/>
    <n v="35"/>
    <n v="1"/>
    <n v="0"/>
    <n v="1"/>
    <n v="35"/>
  </r>
  <r>
    <x v="4"/>
    <s v="Meat"/>
    <s v="Whole Chicken"/>
    <s v="lb"/>
    <n v="0.9"/>
    <n v="0.88200000000000001"/>
    <n v="2.09"/>
    <n v="1.881"/>
    <n v="43"/>
    <n v="2"/>
    <n v="0"/>
    <n v="1"/>
    <n v="43"/>
  </r>
  <r>
    <x v="4"/>
    <s v="Meat"/>
    <s v="Pork Chops (bone-in)"/>
    <s v="lb"/>
    <n v="1.9"/>
    <n v="1.8619999999999999"/>
    <n v="1.95"/>
    <n v="3.7049999999999996"/>
    <n v="99"/>
    <n v="2"/>
    <n v="46"/>
    <n v="0.53535353535353536"/>
    <n v="53"/>
  </r>
  <r>
    <x v="4"/>
    <s v="Meat"/>
    <s v="Pork Shoulder (Boston Butt)"/>
    <s v="lb"/>
    <n v="1.3"/>
    <n v="1.274"/>
    <n v="1.98"/>
    <n v="2.5739999999999998"/>
    <n v="21"/>
    <n v="0"/>
    <n v="19"/>
    <n v="9.5238095238095233E-2"/>
    <n v="2"/>
  </r>
  <r>
    <x v="4"/>
    <s v="Meat"/>
    <s v="Bacon (Regular Cut)"/>
    <s v="lb"/>
    <n v="4"/>
    <n v="3.92"/>
    <n v="2.0700000000000003"/>
    <n v="8.2800000000000011"/>
    <n v="51"/>
    <n v="1"/>
    <n v="18"/>
    <n v="0.6470588235294118"/>
    <n v="33"/>
  </r>
  <r>
    <x v="4"/>
    <s v="Meat"/>
    <s v="Breakfast Sausage (bulk)"/>
    <s v="lb"/>
    <n v="2.2000000000000002"/>
    <n v="2.1560000000000001"/>
    <n v="2.1"/>
    <n v="4.620000000000001"/>
    <n v="43"/>
    <n v="0"/>
    <n v="28"/>
    <n v="0.34883720930232559"/>
    <n v="15"/>
  </r>
  <r>
    <x v="4"/>
    <s v="Meat"/>
    <s v="Italian Sausage (links)"/>
    <s v="lb"/>
    <n v="2.75"/>
    <n v="2.6949999999999998"/>
    <n v="2.08"/>
    <n v="5.7200000000000006"/>
    <n v="31"/>
    <n v="1"/>
    <n v="9"/>
    <n v="0.70967741935483875"/>
    <n v="22"/>
  </r>
  <r>
    <x v="4"/>
    <s v="Meat"/>
    <s v="Beef Chuck Roast"/>
    <s v="lb"/>
    <n v="3.5"/>
    <n v="3.4299999999999997"/>
    <n v="2.0300000000000002"/>
    <n v="7.1050000000000004"/>
    <n v="69"/>
    <n v="0"/>
    <n v="59"/>
    <n v="0.14492753623188406"/>
    <n v="10"/>
  </r>
  <r>
    <x v="4"/>
    <s v="Meat"/>
    <s v="Beef Ribeye Steak (Boneless)"/>
    <s v="lb"/>
    <n v="8"/>
    <n v="7.84"/>
    <n v="2.0700000000000003"/>
    <n v="16.560000000000002"/>
    <n v="54"/>
    <n v="5"/>
    <n v="17"/>
    <n v="0.68518518518518523"/>
    <n v="37"/>
  </r>
  <r>
    <x v="4"/>
    <s v="Meat"/>
    <s v="New York Strip Steak"/>
    <s v="lb"/>
    <n v="7"/>
    <n v="6.8599999999999994"/>
    <n v="2.0099999999999998"/>
    <n v="14.069999999999999"/>
    <n v="52"/>
    <n v="0"/>
    <n v="27"/>
    <n v="0.48076923076923078"/>
    <n v="25"/>
  </r>
  <r>
    <x v="4"/>
    <s v="Meat"/>
    <s v="Chicken Wings"/>
    <s v="lb"/>
    <n v="1.8"/>
    <n v="1.764"/>
    <n v="2.0700000000000003"/>
    <n v="3.7260000000000004"/>
    <n v="52"/>
    <n v="8"/>
    <n v="34"/>
    <n v="0.34615384615384615"/>
    <n v="18"/>
  </r>
  <r>
    <x v="4"/>
    <s v="Meat"/>
    <s v="Lamb Chops"/>
    <s v="lb"/>
    <n v="9"/>
    <n v="8.82"/>
    <n v="1.98"/>
    <n v="17.82"/>
    <n v="80"/>
    <n v="1"/>
    <n v="42"/>
    <n v="0.47499999999999998"/>
    <n v="38"/>
  </r>
  <r>
    <x v="4"/>
    <s v="Meat"/>
    <s v="Turkey (whole, frozen)"/>
    <s v="lb"/>
    <n v="0.95"/>
    <n v="0.93099999999999994"/>
    <n v="2.09"/>
    <n v="1.9854999999999998"/>
    <n v="70"/>
    <n v="5"/>
    <n v="10"/>
    <n v="0.8571428571428571"/>
    <n v="60"/>
  </r>
  <r>
    <x v="4"/>
    <s v="Meat"/>
    <s v="Ham (bone-in, smoked)"/>
    <s v="lb"/>
    <n v="1.85"/>
    <n v="1.8129999999999999"/>
    <n v="1.96"/>
    <n v="3.6259999999999999"/>
    <n v="62"/>
    <n v="3"/>
    <n v="48"/>
    <n v="0.22580645161290322"/>
    <n v="14"/>
  </r>
  <r>
    <x v="4"/>
    <s v="Meat"/>
    <s v="Deli Turkey Breast (sliced)"/>
    <s v="lb"/>
    <n v="5.5"/>
    <n v="5.39"/>
    <n v="2.1"/>
    <n v="11.55"/>
    <n v="31"/>
    <n v="4"/>
    <n v="16"/>
    <n v="0.4838709677419355"/>
    <n v="15"/>
  </r>
  <r>
    <x v="4"/>
    <s v="Meat"/>
    <s v="Hot Dogs (beef, standard pack)"/>
    <s v="lb"/>
    <n v="1.9"/>
    <n v="1.8619999999999999"/>
    <n v="2.08"/>
    <n v="3.952"/>
    <n v="86"/>
    <n v="4"/>
    <n v="37"/>
    <n v="0.56976744186046513"/>
    <n v="49"/>
  </r>
  <r>
    <x v="4"/>
    <s v="Meat"/>
    <s v="Meatballs (pre-cooked)"/>
    <s v="lb"/>
    <n v="2.75"/>
    <n v="2.6949999999999998"/>
    <n v="1.99"/>
    <n v="5.4725000000000001"/>
    <n v="84"/>
    <n v="2"/>
    <n v="63"/>
    <n v="0.25"/>
    <n v="21"/>
  </r>
  <r>
    <x v="4"/>
    <s v="Frozen"/>
    <s v="Frozen Pizza (12”)"/>
    <s v="each"/>
    <n v="3.25"/>
    <n v="3.1850000000000001"/>
    <n v="2.04"/>
    <n v="6.63"/>
    <n v="82"/>
    <n v="2"/>
    <n v="68"/>
    <n v="0.17073170731707318"/>
    <n v="14"/>
  </r>
  <r>
    <x v="4"/>
    <s v="Frozen"/>
    <s v="Frozen Mixed Vegetables (16 oz)"/>
    <s v="each"/>
    <n v="0.9"/>
    <n v="0.88200000000000001"/>
    <n v="1.98"/>
    <n v="1.782"/>
    <n v="89"/>
    <n v="2"/>
    <n v="7"/>
    <n v="0.9213483146067416"/>
    <n v="82"/>
  </r>
  <r>
    <x v="4"/>
    <s v="Frozen"/>
    <s v="Frozen French Fries (32 oz)"/>
    <s v="each"/>
    <n v="1.6"/>
    <n v="1.5680000000000001"/>
    <n v="1.95"/>
    <n v="3.12"/>
    <n v="123"/>
    <n v="2"/>
    <n v="33"/>
    <n v="0.73170731707317072"/>
    <n v="90"/>
  </r>
  <r>
    <x v="4"/>
    <s v="Frozen"/>
    <s v="Frozen Broccoli Florets (16 oz)"/>
    <s v="each"/>
    <n v="1.1000000000000001"/>
    <n v="1.0780000000000001"/>
    <n v="1.99"/>
    <n v="2.1890000000000001"/>
    <n v="92"/>
    <n v="0"/>
    <n v="47"/>
    <n v="0.4891304347826087"/>
    <n v="45"/>
  </r>
  <r>
    <x v="4"/>
    <s v="Frozen"/>
    <s v="Frozen Corn (16 oz)"/>
    <s v="each"/>
    <n v="0.95"/>
    <n v="0.93099999999999994"/>
    <n v="1.98"/>
    <n v="1.881"/>
    <n v="93"/>
    <n v="1"/>
    <n v="55"/>
    <n v="0.40860215053763443"/>
    <n v="38"/>
  </r>
  <r>
    <x v="4"/>
    <s v="Frozen"/>
    <s v="Ice Cream (1.5 qt)"/>
    <s v="each"/>
    <n v="2.75"/>
    <n v="2.6949999999999998"/>
    <n v="2.02"/>
    <n v="5.5549999999999997"/>
    <n v="78"/>
    <n v="3"/>
    <n v="75"/>
    <n v="3.8461538461538464E-2"/>
    <n v="3"/>
  </r>
  <r>
    <x v="4"/>
    <s v="Frozen"/>
    <s v="Ice Cream Sandwiches (box of 6)"/>
    <s v="each"/>
    <n v="1.9"/>
    <n v="1.8619999999999999"/>
    <n v="2.09"/>
    <n v="3.9709999999999996"/>
    <n v="62"/>
    <n v="2"/>
    <n v="37"/>
    <n v="0.40322580645161288"/>
    <n v="25"/>
  </r>
  <r>
    <x v="4"/>
    <s v="Frozen"/>
    <s v="Frozen Chicken Nuggets (32 oz)"/>
    <s v="each"/>
    <n v="4"/>
    <n v="3.92"/>
    <n v="2.08"/>
    <n v="8.32"/>
    <n v="61"/>
    <n v="5"/>
    <n v="0"/>
    <n v="1"/>
    <n v="61"/>
  </r>
  <r>
    <x v="4"/>
    <s v="Frozen"/>
    <s v="Frozen Burritos (individual)"/>
    <s v="each"/>
    <n v="0.8"/>
    <n v="0.78400000000000003"/>
    <n v="1.96"/>
    <n v="1.5680000000000001"/>
    <n v="144"/>
    <n v="3"/>
    <n v="30"/>
    <n v="0.79166666666666663"/>
    <n v="114"/>
  </r>
  <r>
    <x v="4"/>
    <s v="Frozen"/>
    <s v="Frozen Meatballs (26 oz bag)"/>
    <s v="each"/>
    <n v="4.25"/>
    <n v="4.165"/>
    <n v="2.0099999999999998"/>
    <n v="8.5424999999999986"/>
    <n v="95"/>
    <n v="10"/>
    <n v="3"/>
    <n v="0.96842105263157896"/>
    <n v="92"/>
  </r>
  <r>
    <x v="4"/>
    <s v="Frozen"/>
    <s v="Frozen Waffles (box of 10)"/>
    <s v="each"/>
    <n v="1.6"/>
    <n v="1.5680000000000001"/>
    <n v="2.02"/>
    <n v="3.2320000000000002"/>
    <n v="51"/>
    <n v="1"/>
    <n v="48"/>
    <n v="5.8823529411764705E-2"/>
    <n v="3"/>
  </r>
  <r>
    <x v="4"/>
    <s v="Frozen"/>
    <s v="Frozen Pancakes (box of 12)"/>
    <s v="each"/>
    <n v="1.65"/>
    <n v="1.617"/>
    <n v="2.02"/>
    <n v="3.3329999999999997"/>
    <n v="84"/>
    <n v="1"/>
    <n v="49"/>
    <n v="0.41666666666666669"/>
    <n v="35"/>
  </r>
  <r>
    <x v="4"/>
    <s v="Frozen"/>
    <s v="TV Dinner / Meal (10–12 oz)"/>
    <s v="each"/>
    <n v="2.2000000000000002"/>
    <n v="2.1560000000000001"/>
    <n v="2.1"/>
    <n v="4.620000000000001"/>
    <n v="136"/>
    <n v="1"/>
    <n v="68"/>
    <n v="0.5"/>
    <n v="68"/>
  </r>
  <r>
    <x v="4"/>
    <s v="Frozen"/>
    <s v="Frozen Fish Fillets (breaded, 24 oz)"/>
    <s v="each"/>
    <n v="4"/>
    <n v="3.92"/>
    <n v="2.1"/>
    <n v="8.4"/>
    <n v="130"/>
    <n v="2"/>
    <n v="119"/>
    <n v="8.461538461538462E-2"/>
    <n v="11"/>
  </r>
  <r>
    <x v="4"/>
    <s v="Frozen"/>
    <s v="Frozen Shrimp (raw, peeled, 1 lb)"/>
    <s v="each"/>
    <n v="5.25"/>
    <n v="5.1449999999999996"/>
    <n v="2.0499999999999998"/>
    <n v="10.762499999999999"/>
    <n v="139"/>
    <n v="5"/>
    <n v="87"/>
    <n v="0.37410071942446044"/>
    <n v="52"/>
  </r>
  <r>
    <x v="4"/>
    <s v="Frozen"/>
    <s v="Frozen Fruit (Strawberries, 16 oz)"/>
    <s v="each"/>
    <n v="2"/>
    <n v="1.96"/>
    <n v="2.0300000000000002"/>
    <n v="4.0600000000000005"/>
    <n v="57"/>
    <n v="0"/>
    <n v="2"/>
    <n v="0.96491228070175439"/>
    <n v="55"/>
  </r>
  <r>
    <x v="4"/>
    <s v="Frozen"/>
    <s v="Frozen Pie (apple, 8”)"/>
    <s v="each"/>
    <n v="2.8"/>
    <n v="2.7439999999999998"/>
    <n v="1.95"/>
    <n v="5.46"/>
    <n v="142"/>
    <n v="4"/>
    <n v="74"/>
    <n v="0.47887323943661969"/>
    <n v="68"/>
  </r>
  <r>
    <x v="4"/>
    <s v="Frozen"/>
    <s v="Frozen Garlic Bread (16 oz)"/>
    <s v="each"/>
    <n v="1.35"/>
    <n v="1.323"/>
    <n v="2.06"/>
    <n v="2.7810000000000001"/>
    <n v="75"/>
    <n v="1"/>
    <n v="44"/>
    <n v="0.41333333333333333"/>
    <n v="31"/>
  </r>
  <r>
    <x v="4"/>
    <s v="Frozen"/>
    <s v="Frozen Breakfast Sandwich (2-pack)"/>
    <s v="each"/>
    <n v="2.25"/>
    <n v="2.2050000000000001"/>
    <n v="2.02"/>
    <n v="4.5449999999999999"/>
    <n v="123"/>
    <n v="3"/>
    <n v="3"/>
    <n v="0.97560975609756095"/>
    <n v="120"/>
  </r>
  <r>
    <x v="4"/>
    <s v="Frozen"/>
    <s v="Frozen Veggie Burgers (4-pack)"/>
    <s v="each"/>
    <n v="2.8"/>
    <n v="2.7439999999999998"/>
    <n v="2.08"/>
    <n v="5.8239999999999998"/>
    <n v="139"/>
    <n v="3"/>
    <n v="106"/>
    <n v="0.23741007194244604"/>
    <n v="33"/>
  </r>
  <r>
    <x v="4"/>
    <s v="Deli"/>
    <s v="Sliced Turkey Breast"/>
    <s v="lb"/>
    <n v="5.25"/>
    <n v="5.1449999999999996"/>
    <n v="2.04"/>
    <n v="10.71"/>
    <n v="63"/>
    <n v="1"/>
    <n v="26"/>
    <n v="0.58730158730158732"/>
    <n v="37"/>
  </r>
  <r>
    <x v="4"/>
    <s v="Deli"/>
    <s v="Sliced Ham (Honey or Black Forest)"/>
    <s v="lb"/>
    <n v="4.75"/>
    <n v="4.6550000000000002"/>
    <n v="2.08"/>
    <n v="9.8800000000000008"/>
    <n v="36"/>
    <n v="2"/>
    <n v="5"/>
    <n v="0.86111111111111116"/>
    <n v="31"/>
  </r>
  <r>
    <x v="4"/>
    <s v="Deli"/>
    <s v="Roast Beef (sliced)"/>
    <s v="lb"/>
    <n v="6.5"/>
    <n v="6.37"/>
    <n v="2.08"/>
    <n v="13.52"/>
    <n v="97"/>
    <n v="1"/>
    <n v="58"/>
    <n v="0.40206185567010311"/>
    <n v="39"/>
  </r>
  <r>
    <x v="4"/>
    <s v="Deli"/>
    <s v="Genoa Salami"/>
    <s v="lb"/>
    <n v="5.75"/>
    <n v="5.6349999999999998"/>
    <n v="1.98"/>
    <n v="11.385"/>
    <n v="87"/>
    <n v="0"/>
    <n v="14"/>
    <n v="0.83908045977011492"/>
    <n v="73"/>
  </r>
  <r>
    <x v="4"/>
    <s v="Deli"/>
    <s v="Hard Salami"/>
    <s v="lb"/>
    <n v="5.5"/>
    <n v="5.39"/>
    <n v="2.0700000000000003"/>
    <n v="11.385000000000002"/>
    <n v="104"/>
    <n v="1"/>
    <n v="29"/>
    <n v="0.72115384615384615"/>
    <n v="75"/>
  </r>
  <r>
    <x v="4"/>
    <s v="Deli"/>
    <s v="Pepperoni (sliced)"/>
    <s v="lb"/>
    <n v="4.25"/>
    <n v="4.165"/>
    <n v="1.96"/>
    <n v="8.33"/>
    <n v="58"/>
    <n v="0"/>
    <n v="41"/>
    <n v="0.29310344827586204"/>
    <n v="17"/>
  </r>
  <r>
    <x v="4"/>
    <s v="Deli"/>
    <s v="Chicken Breast (sliced)"/>
    <s v="lb"/>
    <n v="5.0999999999999996"/>
    <n v="4.9979999999999993"/>
    <n v="1.99"/>
    <n v="10.148999999999999"/>
    <n v="65"/>
    <n v="1"/>
    <n v="36"/>
    <n v="0.44615384615384618"/>
    <n v="29"/>
  </r>
  <r>
    <x v="4"/>
    <s v="Deli"/>
    <s v="Bologna"/>
    <s v="lb"/>
    <n v="2.8"/>
    <n v="2.7439999999999998"/>
    <n v="1.96"/>
    <n v="5.4879999999999995"/>
    <n v="118"/>
    <n v="2"/>
    <n v="41"/>
    <n v="0.65254237288135597"/>
    <n v="77"/>
  </r>
  <r>
    <x v="4"/>
    <s v="Deli"/>
    <s v="Mortadella"/>
    <s v="lb"/>
    <n v="4"/>
    <n v="3.92"/>
    <n v="1.98"/>
    <n v="7.92"/>
    <n v="50"/>
    <n v="2"/>
    <n v="36"/>
    <n v="0.28000000000000003"/>
    <n v="14"/>
  </r>
  <r>
    <x v="4"/>
    <s v="Deli"/>
    <s v="Prosciutto"/>
    <s v="lb"/>
    <n v="9"/>
    <n v="8.82"/>
    <n v="2"/>
    <n v="18"/>
    <n v="65"/>
    <n v="3"/>
    <n v="34"/>
    <n v="0.47692307692307695"/>
    <n v="31"/>
  </r>
  <r>
    <x v="4"/>
    <s v="Deli"/>
    <s v="American Cheese (processed)"/>
    <s v="lb"/>
    <n v="2.75"/>
    <n v="2.6949999999999998"/>
    <n v="2.09"/>
    <n v="5.7474999999999996"/>
    <n v="39"/>
    <n v="0"/>
    <n v="22"/>
    <n v="0.4358974358974359"/>
    <n v="17"/>
  </r>
  <r>
    <x v="4"/>
    <s v="Deli"/>
    <s v="Cheddar Cheese (sharp)"/>
    <s v="lb"/>
    <n v="3.9"/>
    <n v="3.8220000000000001"/>
    <n v="2.0700000000000003"/>
    <n v="8.0730000000000004"/>
    <n v="102"/>
    <n v="3"/>
    <n v="5"/>
    <n v="0.9509803921568627"/>
    <n v="97"/>
  </r>
  <r>
    <x v="4"/>
    <s v="Deli"/>
    <s v="Swiss Cheese"/>
    <s v="lb"/>
    <n v="4.3"/>
    <n v="4.2139999999999995"/>
    <n v="1.95"/>
    <n v="8.3849999999999998"/>
    <n v="53"/>
    <n v="1"/>
    <n v="3"/>
    <n v="0.94339622641509435"/>
    <n v="50"/>
  </r>
  <r>
    <x v="4"/>
    <s v="Deli"/>
    <s v="Provolone Cheese"/>
    <s v="lb"/>
    <n v="4"/>
    <n v="3.92"/>
    <n v="2.04"/>
    <n v="8.16"/>
    <n v="93"/>
    <n v="1"/>
    <n v="17"/>
    <n v="0.81720430107526887"/>
    <n v="76"/>
  </r>
  <r>
    <x v="4"/>
    <s v="Deli"/>
    <s v="Mozzarella (fresh, sliced)"/>
    <s v="lb"/>
    <n v="4.75"/>
    <n v="4.6550000000000002"/>
    <n v="2.0499999999999998"/>
    <n v="9.7374999999999989"/>
    <n v="78"/>
    <n v="6"/>
    <n v="72"/>
    <n v="7.6923076923076927E-2"/>
    <n v="6"/>
  </r>
  <r>
    <x v="4"/>
    <s v="Deli"/>
    <s v="Coleslaw (prepared)"/>
    <s v="lb"/>
    <n v="2.25"/>
    <n v="2.2050000000000001"/>
    <n v="2.0300000000000002"/>
    <n v="4.5675000000000008"/>
    <n v="65"/>
    <n v="0"/>
    <n v="28"/>
    <n v="0.56923076923076921"/>
    <n v="37"/>
  </r>
  <r>
    <x v="4"/>
    <s v="Deli"/>
    <s v="Potato Salad (prepared)"/>
    <s v="lb"/>
    <n v="2.1"/>
    <n v="2.0579999999999998"/>
    <n v="2.04"/>
    <n v="4.2840000000000007"/>
    <n v="111"/>
    <n v="2"/>
    <n v="76"/>
    <n v="0.31531531531531531"/>
    <n v="35"/>
  </r>
  <r>
    <x v="4"/>
    <s v="Deli"/>
    <s v="Macaroni Salad"/>
    <s v="lb"/>
    <n v="2"/>
    <n v="1.96"/>
    <n v="2.02"/>
    <n v="4.04"/>
    <n v="53"/>
    <n v="2"/>
    <n v="46"/>
    <n v="0.13207547169811321"/>
    <n v="7"/>
  </r>
  <r>
    <x v="4"/>
    <s v="Deli"/>
    <s v="Rotisserie Chicken (whole)"/>
    <s v="each"/>
    <n v="4.5"/>
    <n v="4.41"/>
    <n v="1.96"/>
    <n v="8.82"/>
    <n v="52"/>
    <n v="1"/>
    <n v="51"/>
    <n v="1.9230769230769232E-2"/>
    <n v="1"/>
  </r>
  <r>
    <x v="4"/>
    <s v="Deli"/>
    <s v="Deli Sandwich (made to order)"/>
    <s v="each"/>
    <n v="3.75"/>
    <n v="3.6749999999999998"/>
    <n v="2.02"/>
    <n v="7.5750000000000002"/>
    <n v="91"/>
    <n v="0"/>
    <n v="16"/>
    <n v="0.82417582417582413"/>
    <n v="75"/>
  </r>
  <r>
    <x v="4"/>
    <s v="Dairy"/>
    <s v="Whole Milk (1 gallon)"/>
    <s v="each"/>
    <n v="2"/>
    <n v="1.96"/>
    <n v="1.95"/>
    <n v="3.9"/>
    <n v="155"/>
    <n v="0"/>
    <n v="108"/>
    <n v="0.3032258064516129"/>
    <n v="47"/>
  </r>
  <r>
    <x v="4"/>
    <s v="Dairy"/>
    <s v="2% Milk (1 gallon)"/>
    <s v="each"/>
    <n v="1.95"/>
    <n v="1.911"/>
    <n v="2.08"/>
    <n v="4.056"/>
    <n v="96"/>
    <n v="6"/>
    <n v="21"/>
    <n v="0.78125"/>
    <n v="75"/>
  </r>
  <r>
    <x v="4"/>
    <s v="Dairy"/>
    <s v="Skim Milk (1 gallon)"/>
    <s v="each"/>
    <n v="1.9"/>
    <n v="1.8619999999999999"/>
    <n v="2.0300000000000002"/>
    <n v="3.8570000000000002"/>
    <n v="71"/>
    <n v="1"/>
    <n v="67"/>
    <n v="5.6338028169014086E-2"/>
    <n v="4"/>
  </r>
  <r>
    <x v="4"/>
    <s v="Dairy"/>
    <s v="Organic Milk (1/2 gallon)"/>
    <s v="each"/>
    <n v="3.1"/>
    <n v="3.0379999999999998"/>
    <n v="1.99"/>
    <n v="6.1690000000000005"/>
    <n v="172"/>
    <n v="1"/>
    <n v="68"/>
    <n v="0.60465116279069764"/>
    <n v="104"/>
  </r>
  <r>
    <x v="4"/>
    <s v="Dairy"/>
    <s v="Heavy Whipping Cream (pint)"/>
    <s v="each"/>
    <n v="2"/>
    <n v="1.96"/>
    <n v="2.0700000000000003"/>
    <n v="4.1400000000000006"/>
    <n v="114"/>
    <n v="1"/>
    <n v="36"/>
    <n v="0.68421052631578949"/>
    <n v="78"/>
  </r>
  <r>
    <x v="4"/>
    <s v="Dairy"/>
    <s v="Half &amp; Half (quart)"/>
    <s v="each"/>
    <n v="1.7"/>
    <n v="1.6659999999999999"/>
    <n v="1.97"/>
    <n v="3.3489999999999998"/>
    <n v="72"/>
    <n v="3"/>
    <n v="48"/>
    <n v="0.33333333333333331"/>
    <n v="24"/>
  </r>
  <r>
    <x v="4"/>
    <s v="Dairy"/>
    <s v="Buttermilk (quart)"/>
    <s v="each"/>
    <n v="1.5"/>
    <n v="1.47"/>
    <n v="2.06"/>
    <n v="3.09"/>
    <n v="82"/>
    <n v="0"/>
    <n v="12"/>
    <n v="0.85365853658536583"/>
    <n v="70"/>
  </r>
  <r>
    <x v="4"/>
    <s v="Dairy"/>
    <s v="Butter (salted, 1 lb)"/>
    <s v="each"/>
    <n v="2.65"/>
    <n v="2.597"/>
    <n v="1.95"/>
    <n v="5.1674999999999995"/>
    <n v="148"/>
    <n v="1"/>
    <n v="108"/>
    <n v="0.27027027027027029"/>
    <n v="40"/>
  </r>
  <r>
    <x v="4"/>
    <s v="Dairy"/>
    <s v="Margarine (1 lb)"/>
    <s v="each"/>
    <n v="1.2"/>
    <n v="1.1759999999999999"/>
    <n v="2.08"/>
    <n v="2.496"/>
    <n v="158"/>
    <n v="2"/>
    <n v="85"/>
    <n v="0.46202531645569622"/>
    <n v="73"/>
  </r>
  <r>
    <x v="4"/>
    <s v="Dairy"/>
    <s v="Sour Cream (16 oz)"/>
    <s v="each"/>
    <n v="1.4"/>
    <n v="1.3719999999999999"/>
    <n v="2.04"/>
    <n v="2.8559999999999999"/>
    <n v="164"/>
    <n v="8"/>
    <n v="52"/>
    <n v="0.68292682926829273"/>
    <n v="112"/>
  </r>
  <r>
    <x v="4"/>
    <s v="Dairy"/>
    <s v="Cottage Cheese (16 oz)"/>
    <s v="each"/>
    <n v="1.6"/>
    <n v="1.5680000000000001"/>
    <n v="2.1"/>
    <n v="3.3600000000000003"/>
    <n v="89"/>
    <n v="1"/>
    <n v="86"/>
    <n v="3.3707865168539325E-2"/>
    <n v="3"/>
  </r>
  <r>
    <x v="4"/>
    <s v="Dairy"/>
    <s v="Greek Yogurt (single 5.3 oz cup)"/>
    <s v="each"/>
    <n v="0.7"/>
    <n v="0.68599999999999994"/>
    <n v="2.04"/>
    <n v="1.4279999999999999"/>
    <n v="76"/>
    <n v="1"/>
    <n v="50"/>
    <n v="0.34210526315789475"/>
    <n v="26"/>
  </r>
  <r>
    <x v="4"/>
    <s v="Dairy"/>
    <s v="Yogurt (regular, 6 oz)"/>
    <s v="each"/>
    <n v="0.55000000000000004"/>
    <n v="0.53900000000000003"/>
    <n v="1.96"/>
    <n v="1.0780000000000001"/>
    <n v="172"/>
    <n v="1"/>
    <n v="130"/>
    <n v="0.2441860465116279"/>
    <n v="42"/>
  </r>
  <r>
    <x v="4"/>
    <s v="Dairy"/>
    <s v="Cream Cheese (8 oz block)"/>
    <s v="each"/>
    <n v="1.4"/>
    <n v="1.3719999999999999"/>
    <n v="2.08"/>
    <n v="2.9119999999999999"/>
    <n v="121"/>
    <n v="3"/>
    <n v="41"/>
    <n v="0.66115702479338845"/>
    <n v="80"/>
  </r>
  <r>
    <x v="4"/>
    <s v="Dairy"/>
    <s v="Shredded Cheese (8 oz bag)"/>
    <s v="each"/>
    <n v="2"/>
    <n v="1.96"/>
    <n v="2"/>
    <n v="4"/>
    <n v="143"/>
    <n v="1"/>
    <n v="97"/>
    <n v="0.32167832167832167"/>
    <n v="46"/>
  </r>
  <r>
    <x v="4"/>
    <s v="Dairy"/>
    <s v="Sliced Cheese (8 oz)"/>
    <s v="each"/>
    <n v="2.25"/>
    <n v="2.2050000000000001"/>
    <n v="2.0499999999999998"/>
    <n v="4.6124999999999998"/>
    <n v="171"/>
    <n v="2"/>
    <n v="159"/>
    <n v="7.0175438596491224E-2"/>
    <n v="12"/>
  </r>
  <r>
    <x v="4"/>
    <s v="Dairy"/>
    <s v="Cheddar Cheese Block (1 lb)"/>
    <s v="each"/>
    <n v="3.4"/>
    <n v="3.3319999999999999"/>
    <n v="2"/>
    <n v="6.8"/>
    <n v="148"/>
    <n v="5"/>
    <n v="108"/>
    <n v="0.27027027027027029"/>
    <n v="40"/>
  </r>
  <r>
    <x v="4"/>
    <s v="Dairy"/>
    <s v="Mozzarella (low moisture, 1 lb)"/>
    <s v="each"/>
    <n v="3.1"/>
    <n v="3.0379999999999998"/>
    <n v="2.06"/>
    <n v="6.3860000000000001"/>
    <n v="145"/>
    <n v="4"/>
    <n v="50"/>
    <n v="0.65517241379310343"/>
    <n v="95"/>
  </r>
  <r>
    <x v="4"/>
    <s v="Dairy"/>
    <s v="Eggs (dozen, large, Grade A)"/>
    <s v="each"/>
    <n v="1.5"/>
    <n v="1.47"/>
    <n v="2.09"/>
    <n v="3.1349999999999998"/>
    <n v="72"/>
    <n v="1"/>
    <n v="45"/>
    <n v="0.375"/>
    <n v="27"/>
  </r>
  <r>
    <x v="4"/>
    <s v="Dairy"/>
    <s v="Egg Substitute (16 oz carton)"/>
    <s v="each"/>
    <n v="1.9"/>
    <n v="1.8619999999999999"/>
    <n v="2.04"/>
    <n v="3.8759999999999999"/>
    <n v="118"/>
    <n v="6"/>
    <n v="107"/>
    <n v="9.3220338983050849E-2"/>
    <n v="11"/>
  </r>
  <r>
    <x v="4"/>
    <s v="Bakery"/>
    <s v="White Sandwich Bread (loaf)"/>
    <s v="each"/>
    <n v="1.3"/>
    <n v="1.274"/>
    <n v="2.08"/>
    <n v="2.7040000000000002"/>
    <n v="58"/>
    <n v="2"/>
    <n v="20"/>
    <n v="0.65517241379310343"/>
    <n v="38"/>
  </r>
  <r>
    <x v="4"/>
    <s v="Bakery"/>
    <s v="Whole Wheat Bread (loaf)"/>
    <s v="each"/>
    <n v="1.6"/>
    <n v="1.5680000000000001"/>
    <n v="2.04"/>
    <n v="3.2640000000000002"/>
    <n v="88"/>
    <n v="2"/>
    <n v="43"/>
    <n v="0.51136363636363635"/>
    <n v="45"/>
  </r>
  <r>
    <x v="4"/>
    <s v="Bakery"/>
    <s v="French Baguette"/>
    <s v="each"/>
    <n v="1.35"/>
    <n v="1.323"/>
    <n v="1.98"/>
    <n v="2.673"/>
    <n v="139"/>
    <n v="0"/>
    <n v="138"/>
    <n v="7.1942446043165471E-3"/>
    <n v="1"/>
  </r>
  <r>
    <x v="4"/>
    <s v="Bakery"/>
    <s v="Italian Bread (loaf)"/>
    <s v="each"/>
    <n v="1.6"/>
    <n v="1.5680000000000001"/>
    <n v="2.06"/>
    <n v="3.2960000000000003"/>
    <n v="51"/>
    <n v="9"/>
    <n v="38"/>
    <n v="0.25490196078431371"/>
    <n v="13"/>
  </r>
  <r>
    <x v="4"/>
    <s v="Bakery"/>
    <s v="Dinner Rolls (12-pack)"/>
    <s v="each"/>
    <n v="2.1"/>
    <n v="2.0579999999999998"/>
    <n v="1.98"/>
    <n v="4.1580000000000004"/>
    <n v="100"/>
    <n v="0"/>
    <n v="67"/>
    <n v="0.33"/>
    <n v="33"/>
  </r>
  <r>
    <x v="4"/>
    <s v="Bakery"/>
    <s v="Kaiser Rolls (6-pack)"/>
    <s v="each"/>
    <n v="1.85"/>
    <n v="1.8129999999999999"/>
    <n v="2.0099999999999998"/>
    <n v="3.7184999999999997"/>
    <n v="144"/>
    <n v="0"/>
    <n v="128"/>
    <n v="0.1111111111111111"/>
    <n v="16"/>
  </r>
  <r>
    <x v="4"/>
    <s v="Bakery"/>
    <s v="Hamburger Buns (8-pack)"/>
    <s v="each"/>
    <n v="1.55"/>
    <n v="1.5189999999999999"/>
    <n v="1.98"/>
    <n v="3.069"/>
    <n v="58"/>
    <n v="0"/>
    <n v="27"/>
    <n v="0.53448275862068961"/>
    <n v="31"/>
  </r>
  <r>
    <x v="4"/>
    <s v="Bakery"/>
    <s v="Hot Dog Buns (8-pack)"/>
    <s v="each"/>
    <n v="1.55"/>
    <n v="1.5189999999999999"/>
    <n v="2.0099999999999998"/>
    <n v="3.1154999999999999"/>
    <n v="115"/>
    <n v="3"/>
    <n v="62"/>
    <n v="0.46086956521739131"/>
    <n v="53"/>
  </r>
  <r>
    <x v="4"/>
    <s v="Bakery"/>
    <s v="English Muffins (6-pack)"/>
    <s v="each"/>
    <n v="1.75"/>
    <n v="1.7149999999999999"/>
    <n v="2.06"/>
    <n v="3.605"/>
    <n v="48"/>
    <n v="0"/>
    <n v="23"/>
    <n v="0.52083333333333337"/>
    <n v="25"/>
  </r>
  <r>
    <x v="4"/>
    <s v="Bakery"/>
    <s v="Bagels (6-pack)"/>
    <s v="each"/>
    <n v="2.2000000000000002"/>
    <n v="2.1560000000000001"/>
    <n v="1.97"/>
    <n v="4.3340000000000005"/>
    <n v="110"/>
    <n v="0"/>
    <n v="98"/>
    <n v="0.10909090909090909"/>
    <n v="12"/>
  </r>
  <r>
    <x v="4"/>
    <s v="Bakery"/>
    <s v="Croissants (4-pack)"/>
    <s v="each"/>
    <n v="2.75"/>
    <n v="2.6949999999999998"/>
    <n v="2.02"/>
    <n v="5.5549999999999997"/>
    <n v="67"/>
    <n v="0"/>
    <n v="12"/>
    <n v="0.82089552238805974"/>
    <n v="55"/>
  </r>
  <r>
    <x v="4"/>
    <s v="Bakery"/>
    <s v="Muffins (4-pack, assorted)"/>
    <s v="each"/>
    <n v="2.4"/>
    <n v="2.3519999999999999"/>
    <n v="2.08"/>
    <n v="4.992"/>
    <n v="117"/>
    <n v="0"/>
    <n v="110"/>
    <n v="5.9829059829059832E-2"/>
    <n v="7"/>
  </r>
  <r>
    <x v="4"/>
    <s v="Bakery"/>
    <s v="Donuts (6-pack, glazed)"/>
    <s v="each"/>
    <n v="2.7"/>
    <n v="2.6459999999999999"/>
    <n v="2.04"/>
    <n v="5.5080000000000009"/>
    <n v="134"/>
    <n v="2"/>
    <n v="97"/>
    <n v="0.27611940298507465"/>
    <n v="37"/>
  </r>
  <r>
    <x v="4"/>
    <s v="Bakery"/>
    <s v="Danish Pastries (4-pack)"/>
    <s v="each"/>
    <n v="2.6"/>
    <n v="2.548"/>
    <n v="2.08"/>
    <n v="5.4080000000000004"/>
    <n v="91"/>
    <n v="3"/>
    <n v="10"/>
    <n v="0.89010989010989006"/>
    <n v="81"/>
  </r>
  <r>
    <x v="4"/>
    <s v="Bakery"/>
    <s v="Apple Pie (9”)"/>
    <s v="each"/>
    <n v="4"/>
    <n v="3.92"/>
    <n v="2.04"/>
    <n v="8.16"/>
    <n v="122"/>
    <n v="1"/>
    <n v="99"/>
    <n v="0.18852459016393441"/>
    <n v="23"/>
  </r>
  <r>
    <x v="4"/>
    <s v="Bakery"/>
    <s v="Pumpkin Pie (9”)"/>
    <s v="each"/>
    <n v="4.25"/>
    <n v="4.165"/>
    <n v="1.96"/>
    <n v="8.33"/>
    <n v="55"/>
    <n v="2"/>
    <n v="50"/>
    <n v="9.0909090909090912E-2"/>
    <n v="5"/>
  </r>
  <r>
    <x v="4"/>
    <s v="Bakery"/>
    <s v="Chocolate Cake (single layer)"/>
    <s v="each"/>
    <n v="5"/>
    <n v="4.9000000000000004"/>
    <n v="1.95"/>
    <n v="9.75"/>
    <n v="108"/>
    <n v="3"/>
    <n v="16"/>
    <n v="0.85185185185185186"/>
    <n v="92"/>
  </r>
  <r>
    <x v="4"/>
    <s v="Bakery"/>
    <s v="Cupcakes (6-pack)"/>
    <s v="each"/>
    <n v="3"/>
    <n v="2.94"/>
    <n v="1.98"/>
    <n v="5.9399999999999995"/>
    <n v="138"/>
    <n v="0"/>
    <n v="98"/>
    <n v="0.28985507246376813"/>
    <n v="40"/>
  </r>
  <r>
    <x v="4"/>
    <s v="Bakery"/>
    <s v="Brownies (6-pack)"/>
    <s v="each"/>
    <n v="2.4"/>
    <n v="2.3519999999999999"/>
    <n v="2.09"/>
    <n v="5.0159999999999991"/>
    <n v="51"/>
    <n v="1"/>
    <n v="17"/>
    <n v="0.66666666666666663"/>
    <n v="34"/>
  </r>
  <r>
    <x v="4"/>
    <s v="Bakery"/>
    <s v="Coffee Cake (whole)"/>
    <s v="each"/>
    <n v="3.25"/>
    <n v="3.1850000000000001"/>
    <n v="2.02"/>
    <n v="6.5650000000000004"/>
    <n v="64"/>
    <n v="9"/>
    <n v="39"/>
    <n v="0.390625"/>
    <n v="25"/>
  </r>
  <r>
    <x v="5"/>
    <s v="Produce"/>
    <s v="Bananas"/>
    <s v="lb"/>
    <n v="0.35"/>
    <n v="0.33249999999999996"/>
    <n v="1.96"/>
    <n v="0.68599999999999994"/>
    <n v="172"/>
    <n v="2"/>
    <n v="151"/>
    <n v="0.12209302325581395"/>
    <n v="21"/>
  </r>
  <r>
    <x v="5"/>
    <s v="Produce"/>
    <s v="Apples (Gala)"/>
    <s v="lb"/>
    <n v="0.85"/>
    <n v="0.8075"/>
    <n v="2.02"/>
    <n v="1.7169999999999999"/>
    <n v="102"/>
    <n v="1"/>
    <n v="18"/>
    <n v="0.82352941176470584"/>
    <n v="84"/>
  </r>
  <r>
    <x v="5"/>
    <s v="Produce"/>
    <s v="Oranges (Navel)"/>
    <s v="lb"/>
    <n v="0.7"/>
    <n v="0.66499999999999992"/>
    <n v="2.06"/>
    <n v="1.4419999999999999"/>
    <n v="193"/>
    <n v="2"/>
    <n v="164"/>
    <n v="0.15025906735751296"/>
    <n v="29"/>
  </r>
  <r>
    <x v="5"/>
    <s v="Produce"/>
    <s v="Lemons"/>
    <s v="each"/>
    <n v="0.35"/>
    <n v="0.33249999999999996"/>
    <n v="2.0099999999999998"/>
    <n v="0.7034999999999999"/>
    <n v="106"/>
    <n v="1"/>
    <n v="102"/>
    <n v="3.7735849056603772E-2"/>
    <n v="4"/>
  </r>
  <r>
    <x v="5"/>
    <s v="Produce"/>
    <s v="Limes"/>
    <s v="each"/>
    <n v="0.2"/>
    <n v="0.19"/>
    <n v="1.96"/>
    <n v="0.39200000000000002"/>
    <n v="88"/>
    <n v="2"/>
    <n v="84"/>
    <n v="4.5454545454545456E-2"/>
    <n v="4"/>
  </r>
  <r>
    <x v="5"/>
    <s v="Produce"/>
    <s v="Avocados (Hass)"/>
    <s v="each"/>
    <n v="0.75"/>
    <n v="0.71249999999999991"/>
    <n v="2.04"/>
    <n v="1.53"/>
    <n v="158"/>
    <n v="0"/>
    <n v="7"/>
    <n v="0.95569620253164556"/>
    <n v="151"/>
  </r>
  <r>
    <x v="5"/>
    <s v="Produce"/>
    <s v="Tomatoes (Roma)"/>
    <s v="lb"/>
    <n v="0.6"/>
    <n v="0.56999999999999995"/>
    <n v="2.06"/>
    <n v="1.236"/>
    <n v="91"/>
    <n v="0"/>
    <n v="27"/>
    <n v="0.70329670329670335"/>
    <n v="64"/>
  </r>
  <r>
    <x v="5"/>
    <s v="Produce"/>
    <s v="Potatoes (Russet)"/>
    <s v="lb"/>
    <n v="0.45"/>
    <n v="0.42749999999999999"/>
    <n v="1.95"/>
    <n v="0.87749999999999995"/>
    <n v="191"/>
    <n v="0"/>
    <n v="4"/>
    <n v="0.97905759162303663"/>
    <n v="187"/>
  </r>
  <r>
    <x v="5"/>
    <s v="Produce"/>
    <s v="Onions (Yellow)"/>
    <s v="lb"/>
    <n v="0.4"/>
    <n v="0.38"/>
    <n v="2.0099999999999998"/>
    <n v="0.80399999999999994"/>
    <n v="171"/>
    <n v="7"/>
    <n v="144"/>
    <n v="0.15789473684210525"/>
    <n v="27"/>
  </r>
  <r>
    <x v="5"/>
    <s v="Produce"/>
    <s v="Carrots"/>
    <s v="lb"/>
    <n v="0.35"/>
    <n v="0.33249999999999996"/>
    <n v="1.95"/>
    <n v="0.6825"/>
    <n v="182"/>
    <n v="4"/>
    <n v="100"/>
    <n v="0.45054945054945056"/>
    <n v="82"/>
  </r>
  <r>
    <x v="5"/>
    <s v="Produce"/>
    <s v="Broccoli"/>
    <s v="lb"/>
    <n v="0.9"/>
    <n v="0.85499999999999998"/>
    <n v="1.99"/>
    <n v="1.7909999999999999"/>
    <n v="124"/>
    <n v="0"/>
    <n v="35"/>
    <n v="0.717741935483871"/>
    <n v="89"/>
  </r>
  <r>
    <x v="5"/>
    <s v="Produce"/>
    <s v="Lettuce (Romaine)"/>
    <s v="each"/>
    <n v="1"/>
    <n v="0.95"/>
    <n v="1.98"/>
    <n v="1.98"/>
    <n v="195"/>
    <n v="0"/>
    <n v="117"/>
    <n v="0.4"/>
    <n v="78"/>
  </r>
  <r>
    <x v="5"/>
    <s v="Produce"/>
    <s v="Spinach (bagged)"/>
    <s v="lb"/>
    <n v="2.56"/>
    <n v="2.4319999999999999"/>
    <n v="2.0499999999999998"/>
    <n v="5.2479999999999993"/>
    <n v="125"/>
    <n v="4"/>
    <n v="18"/>
    <n v="0.85599999999999998"/>
    <n v="107"/>
  </r>
  <r>
    <x v="5"/>
    <s v="Produce"/>
    <s v="Bell Peppers (Green)"/>
    <s v="lb"/>
    <n v="0.75"/>
    <n v="0.71249999999999991"/>
    <n v="2.1"/>
    <n v="1.5750000000000002"/>
    <n v="58"/>
    <n v="0"/>
    <n v="26"/>
    <n v="0.55172413793103448"/>
    <n v="32"/>
  </r>
  <r>
    <x v="5"/>
    <s v="Produce"/>
    <s v="Cucumbers"/>
    <s v="each"/>
    <n v="0.4"/>
    <n v="0.38"/>
    <n v="1.97"/>
    <n v="0.78800000000000003"/>
    <n v="123"/>
    <n v="0"/>
    <n v="116"/>
    <n v="5.6910569105691054E-2"/>
    <n v="7"/>
  </r>
  <r>
    <x v="5"/>
    <s v="Produce"/>
    <s v="Grapes (Red Seedless)"/>
    <s v="lb"/>
    <n v="1.4"/>
    <n v="1.3299999999999998"/>
    <n v="2.06"/>
    <n v="2.8839999999999999"/>
    <n v="194"/>
    <n v="8"/>
    <n v="97"/>
    <n v="0.5"/>
    <n v="97"/>
  </r>
  <r>
    <x v="5"/>
    <s v="Produce"/>
    <s v="Strawberries (1 lb)"/>
    <s v="lb"/>
    <n v="2"/>
    <n v="1.9"/>
    <n v="2.1"/>
    <n v="4.2"/>
    <n v="56"/>
    <n v="1"/>
    <n v="10"/>
    <n v="0.8214285714285714"/>
    <n v="46"/>
  </r>
  <r>
    <x v="5"/>
    <s v="Produce"/>
    <s v="Blueberries"/>
    <s v="lb"/>
    <n v="0.45"/>
    <n v="0.42749999999999999"/>
    <n v="1.95"/>
    <n v="0.87749999999999995"/>
    <n v="190"/>
    <n v="3"/>
    <n v="53"/>
    <n v="0.72105263157894739"/>
    <n v="137"/>
  </r>
  <r>
    <x v="5"/>
    <s v="Produce"/>
    <s v="Pineapple"/>
    <s v="each"/>
    <n v="1.9"/>
    <n v="1.8049999999999999"/>
    <n v="2.0499999999999998"/>
    <n v="3.8949999999999996"/>
    <n v="186"/>
    <n v="9"/>
    <n v="172"/>
    <n v="7.5268817204301078E-2"/>
    <n v="14"/>
  </r>
  <r>
    <x v="5"/>
    <s v="Produce"/>
    <s v="Watermelon (whole)"/>
    <s v="each"/>
    <n v="4"/>
    <n v="3.8"/>
    <n v="1.97"/>
    <n v="7.88"/>
    <n v="76"/>
    <n v="1"/>
    <n v="46"/>
    <n v="0.39473684210526316"/>
    <n v="30"/>
  </r>
  <r>
    <x v="5"/>
    <s v="Meat"/>
    <s v="Ground Beef (80/20)"/>
    <s v="lb"/>
    <n v="2.85"/>
    <n v="2.7075"/>
    <n v="1.95"/>
    <n v="5.5575000000000001"/>
    <n v="85"/>
    <n v="0"/>
    <n v="11"/>
    <n v="0.87058823529411766"/>
    <n v="74"/>
  </r>
  <r>
    <x v="5"/>
    <s v="Meat"/>
    <s v="Ground Turkey"/>
    <s v="lb"/>
    <n v="2.5"/>
    <n v="2.375"/>
    <n v="2.1"/>
    <n v="5.25"/>
    <n v="24"/>
    <n v="0"/>
    <n v="21"/>
    <n v="0.125"/>
    <n v="3"/>
  </r>
  <r>
    <x v="5"/>
    <s v="Meat"/>
    <s v="Boneless Skinless Chicken Breast"/>
    <s v="lb"/>
    <n v="2.1"/>
    <n v="1.9949999999999999"/>
    <n v="2.0099999999999998"/>
    <n v="4.2210000000000001"/>
    <n v="48"/>
    <n v="5"/>
    <n v="20"/>
    <n v="0.58333333333333337"/>
    <n v="28"/>
  </r>
  <r>
    <x v="5"/>
    <s v="Meat"/>
    <s v="Chicken Thighs (bone-in)"/>
    <s v="lb"/>
    <n v="1"/>
    <n v="0.95"/>
    <n v="2.06"/>
    <n v="2.06"/>
    <n v="56"/>
    <n v="6"/>
    <n v="10"/>
    <n v="0.8214285714285714"/>
    <n v="46"/>
  </r>
  <r>
    <x v="5"/>
    <s v="Meat"/>
    <s v="Whole Chicken"/>
    <s v="lb"/>
    <n v="0.9"/>
    <n v="0.85499999999999998"/>
    <n v="2"/>
    <n v="1.8"/>
    <n v="57"/>
    <n v="4"/>
    <n v="38"/>
    <n v="0.33333333333333331"/>
    <n v="19"/>
  </r>
  <r>
    <x v="5"/>
    <s v="Meat"/>
    <s v="Pork Chops (bone-in)"/>
    <s v="lb"/>
    <n v="1.9"/>
    <n v="1.8049999999999999"/>
    <n v="2"/>
    <n v="3.8"/>
    <n v="27"/>
    <n v="0"/>
    <n v="27"/>
    <n v="0"/>
    <n v="0"/>
  </r>
  <r>
    <x v="5"/>
    <s v="Meat"/>
    <s v="Pork Shoulder (Boston Butt)"/>
    <s v="lb"/>
    <n v="1.3"/>
    <n v="1.2349999999999999"/>
    <n v="2.04"/>
    <n v="2.6520000000000001"/>
    <n v="84"/>
    <n v="5"/>
    <n v="4"/>
    <n v="0.95238095238095233"/>
    <n v="80"/>
  </r>
  <r>
    <x v="5"/>
    <s v="Meat"/>
    <s v="Bacon (Regular Cut)"/>
    <s v="lb"/>
    <n v="4"/>
    <n v="3.8"/>
    <n v="2.08"/>
    <n v="8.32"/>
    <n v="36"/>
    <n v="7"/>
    <n v="16"/>
    <n v="0.55555555555555558"/>
    <n v="20"/>
  </r>
  <r>
    <x v="5"/>
    <s v="Meat"/>
    <s v="Breakfast Sausage (bulk)"/>
    <s v="lb"/>
    <n v="2.2000000000000002"/>
    <n v="2.09"/>
    <n v="2.0700000000000003"/>
    <n v="4.5540000000000012"/>
    <n v="90"/>
    <n v="3"/>
    <n v="55"/>
    <n v="0.3888888888888889"/>
    <n v="35"/>
  </r>
  <r>
    <x v="5"/>
    <s v="Meat"/>
    <s v="Italian Sausage (links)"/>
    <s v="lb"/>
    <n v="2.75"/>
    <n v="2.6124999999999998"/>
    <n v="2.02"/>
    <n v="5.5549999999999997"/>
    <n v="64"/>
    <n v="8"/>
    <n v="19"/>
    <n v="0.703125"/>
    <n v="45"/>
  </r>
  <r>
    <x v="5"/>
    <s v="Meat"/>
    <s v="Beef Chuck Roast"/>
    <s v="lb"/>
    <n v="3.5"/>
    <n v="3.3249999999999997"/>
    <n v="2.06"/>
    <n v="7.21"/>
    <n v="23"/>
    <n v="5"/>
    <n v="8"/>
    <n v="0.65217391304347827"/>
    <n v="15"/>
  </r>
  <r>
    <x v="5"/>
    <s v="Meat"/>
    <s v="Beef Ribeye Steak (Boneless)"/>
    <s v="lb"/>
    <n v="8"/>
    <n v="7.6"/>
    <n v="2.08"/>
    <n v="16.64"/>
    <n v="55"/>
    <n v="3"/>
    <n v="45"/>
    <n v="0.18181818181818182"/>
    <n v="10"/>
  </r>
  <r>
    <x v="5"/>
    <s v="Meat"/>
    <s v="New York Strip Steak"/>
    <s v="lb"/>
    <n v="7"/>
    <n v="6.6499999999999995"/>
    <n v="1.95"/>
    <n v="13.65"/>
    <n v="89"/>
    <n v="2"/>
    <n v="11"/>
    <n v="0.8764044943820225"/>
    <n v="78"/>
  </r>
  <r>
    <x v="5"/>
    <s v="Meat"/>
    <s v="Chicken Wings"/>
    <s v="lb"/>
    <n v="1.8"/>
    <n v="1.71"/>
    <n v="2.0499999999999998"/>
    <n v="3.69"/>
    <n v="50"/>
    <n v="1"/>
    <n v="5"/>
    <n v="0.9"/>
    <n v="45"/>
  </r>
  <r>
    <x v="5"/>
    <s v="Meat"/>
    <s v="Lamb Chops"/>
    <s v="lb"/>
    <n v="9"/>
    <n v="8.5499999999999989"/>
    <n v="2"/>
    <n v="18"/>
    <n v="38"/>
    <n v="0"/>
    <n v="16"/>
    <n v="0.57894736842105265"/>
    <n v="22"/>
  </r>
  <r>
    <x v="5"/>
    <s v="Meat"/>
    <s v="Turkey (whole, frozen)"/>
    <s v="lb"/>
    <n v="0.95"/>
    <n v="0.90249999999999997"/>
    <n v="2.0300000000000002"/>
    <n v="1.9285000000000001"/>
    <n v="80"/>
    <n v="3"/>
    <n v="18"/>
    <n v="0.77500000000000002"/>
    <n v="62"/>
  </r>
  <r>
    <x v="5"/>
    <s v="Meat"/>
    <s v="Ham (bone-in, smoked)"/>
    <s v="lb"/>
    <n v="1.85"/>
    <n v="1.7575000000000001"/>
    <n v="1.97"/>
    <n v="3.6445000000000003"/>
    <n v="73"/>
    <n v="1"/>
    <n v="25"/>
    <n v="0.65753424657534243"/>
    <n v="48"/>
  </r>
  <r>
    <x v="5"/>
    <s v="Meat"/>
    <s v="Deli Turkey Breast (sliced)"/>
    <s v="lb"/>
    <n v="5.5"/>
    <n v="5.2249999999999996"/>
    <n v="2.1"/>
    <n v="11.55"/>
    <n v="58"/>
    <n v="6"/>
    <n v="47"/>
    <n v="0.18965517241379309"/>
    <n v="11"/>
  </r>
  <r>
    <x v="5"/>
    <s v="Meat"/>
    <s v="Hot Dogs (beef, standard pack)"/>
    <s v="lb"/>
    <n v="1.9"/>
    <n v="1.8049999999999999"/>
    <n v="2.0700000000000003"/>
    <n v="3.9330000000000003"/>
    <n v="93"/>
    <n v="10"/>
    <n v="51"/>
    <n v="0.45161290322580644"/>
    <n v="42"/>
  </r>
  <r>
    <x v="5"/>
    <s v="Meat"/>
    <s v="Meatballs (pre-cooked)"/>
    <s v="lb"/>
    <n v="2.75"/>
    <n v="2.6124999999999998"/>
    <n v="2.0700000000000003"/>
    <n v="5.6925000000000008"/>
    <n v="38"/>
    <n v="4"/>
    <n v="31"/>
    <n v="0.18421052631578946"/>
    <n v="7"/>
  </r>
  <r>
    <x v="5"/>
    <s v="Frozen"/>
    <s v="Frozen Pizza (12”)"/>
    <s v="each"/>
    <n v="3.25"/>
    <n v="3.0874999999999999"/>
    <n v="2.0499999999999998"/>
    <n v="6.6624999999999996"/>
    <n v="88"/>
    <n v="0"/>
    <n v="69"/>
    <n v="0.21590909090909091"/>
    <n v="19"/>
  </r>
  <r>
    <x v="5"/>
    <s v="Frozen"/>
    <s v="Frozen Mixed Vegetables (16 oz)"/>
    <s v="each"/>
    <n v="0.9"/>
    <n v="0.85499999999999998"/>
    <n v="2.02"/>
    <n v="1.8180000000000001"/>
    <n v="116"/>
    <n v="1"/>
    <n v="54"/>
    <n v="0.53448275862068961"/>
    <n v="62"/>
  </r>
  <r>
    <x v="5"/>
    <s v="Frozen"/>
    <s v="Frozen French Fries (32 oz)"/>
    <s v="each"/>
    <n v="1.6"/>
    <n v="1.52"/>
    <n v="2.02"/>
    <n v="3.2320000000000002"/>
    <n v="94"/>
    <n v="0"/>
    <n v="74"/>
    <n v="0.21276595744680851"/>
    <n v="20"/>
  </r>
  <r>
    <x v="5"/>
    <s v="Frozen"/>
    <s v="Frozen Broccoli Florets (16 oz)"/>
    <s v="each"/>
    <n v="1.1000000000000001"/>
    <n v="1.0449999999999999"/>
    <n v="2.0099999999999998"/>
    <n v="2.2109999999999999"/>
    <n v="62"/>
    <n v="3"/>
    <n v="32"/>
    <n v="0.4838709677419355"/>
    <n v="30"/>
  </r>
  <r>
    <x v="5"/>
    <s v="Frozen"/>
    <s v="Frozen Corn (16 oz)"/>
    <s v="each"/>
    <n v="0.95"/>
    <n v="0.90249999999999997"/>
    <n v="2.04"/>
    <n v="1.9379999999999999"/>
    <n v="141"/>
    <n v="4"/>
    <n v="81"/>
    <n v="0.42553191489361702"/>
    <n v="60"/>
  </r>
  <r>
    <x v="5"/>
    <s v="Frozen"/>
    <s v="Ice Cream (1.5 qt)"/>
    <s v="each"/>
    <n v="2.75"/>
    <n v="2.6124999999999998"/>
    <n v="2.06"/>
    <n v="5.665"/>
    <n v="107"/>
    <n v="7"/>
    <n v="91"/>
    <n v="0.14953271028037382"/>
    <n v="16"/>
  </r>
  <r>
    <x v="5"/>
    <s v="Frozen"/>
    <s v="Ice Cream Sandwiches (box of 6)"/>
    <s v="each"/>
    <n v="1.9"/>
    <n v="1.8049999999999999"/>
    <n v="2.0700000000000003"/>
    <n v="3.9330000000000003"/>
    <n v="69"/>
    <n v="1"/>
    <n v="50"/>
    <n v="0.27536231884057971"/>
    <n v="19"/>
  </r>
  <r>
    <x v="5"/>
    <s v="Frozen"/>
    <s v="Frozen Chicken Nuggets (32 oz)"/>
    <s v="each"/>
    <n v="4"/>
    <n v="3.8"/>
    <n v="2"/>
    <n v="8"/>
    <n v="141"/>
    <n v="7"/>
    <n v="3"/>
    <n v="0.97872340425531912"/>
    <n v="138"/>
  </r>
  <r>
    <x v="5"/>
    <s v="Frozen"/>
    <s v="Frozen Burritos (individual)"/>
    <s v="each"/>
    <n v="0.8"/>
    <n v="0.76"/>
    <n v="2.08"/>
    <n v="1.6640000000000001"/>
    <n v="121"/>
    <n v="6"/>
    <n v="6"/>
    <n v="0.95041322314049592"/>
    <n v="115"/>
  </r>
  <r>
    <x v="5"/>
    <s v="Frozen"/>
    <s v="Frozen Meatballs (26 oz bag)"/>
    <s v="each"/>
    <n v="4.25"/>
    <n v="4.0374999999999996"/>
    <n v="2.09"/>
    <n v="8.8825000000000003"/>
    <n v="110"/>
    <n v="1"/>
    <n v="108"/>
    <n v="1.8181818181818181E-2"/>
    <n v="2"/>
  </r>
  <r>
    <x v="5"/>
    <s v="Frozen"/>
    <s v="Frozen Waffles (box of 10)"/>
    <s v="each"/>
    <n v="1.6"/>
    <n v="1.52"/>
    <n v="2"/>
    <n v="3.2"/>
    <n v="154"/>
    <n v="6"/>
    <n v="47"/>
    <n v="0.69480519480519476"/>
    <n v="107"/>
  </r>
  <r>
    <x v="5"/>
    <s v="Frozen"/>
    <s v="Frozen Pancakes (box of 12)"/>
    <s v="each"/>
    <n v="1.65"/>
    <n v="1.5674999999999999"/>
    <n v="1.99"/>
    <n v="3.2834999999999996"/>
    <n v="88"/>
    <n v="1"/>
    <n v="72"/>
    <n v="0.18181818181818182"/>
    <n v="16"/>
  </r>
  <r>
    <x v="5"/>
    <s v="Frozen"/>
    <s v="TV Dinner / Meal (10–12 oz)"/>
    <s v="each"/>
    <n v="2.2000000000000002"/>
    <n v="2.09"/>
    <n v="2"/>
    <n v="4.4000000000000004"/>
    <n v="50"/>
    <n v="1"/>
    <n v="7"/>
    <n v="0.86"/>
    <n v="43"/>
  </r>
  <r>
    <x v="5"/>
    <s v="Frozen"/>
    <s v="Frozen Fish Fillets (breaded, 24 oz)"/>
    <s v="each"/>
    <n v="4"/>
    <n v="3.8"/>
    <n v="1.97"/>
    <n v="7.88"/>
    <n v="52"/>
    <n v="3"/>
    <n v="44"/>
    <n v="0.15384615384615385"/>
    <n v="8"/>
  </r>
  <r>
    <x v="5"/>
    <s v="Frozen"/>
    <s v="Frozen Shrimp (raw, peeled, 1 lb)"/>
    <s v="each"/>
    <n v="5.25"/>
    <n v="4.9874999999999998"/>
    <n v="2.0499999999999998"/>
    <n v="10.762499999999999"/>
    <n v="126"/>
    <n v="1"/>
    <n v="80"/>
    <n v="0.36507936507936506"/>
    <n v="46"/>
  </r>
  <r>
    <x v="5"/>
    <s v="Frozen"/>
    <s v="Frozen Fruit (Strawberries, 16 oz)"/>
    <s v="each"/>
    <n v="2"/>
    <n v="1.9"/>
    <n v="1.99"/>
    <n v="3.98"/>
    <n v="141"/>
    <n v="3"/>
    <n v="80"/>
    <n v="0.43262411347517732"/>
    <n v="61"/>
  </r>
  <r>
    <x v="5"/>
    <s v="Frozen"/>
    <s v="Frozen Pie (apple, 8”)"/>
    <s v="each"/>
    <n v="2.8"/>
    <n v="2.6599999999999997"/>
    <n v="2.0700000000000003"/>
    <n v="5.7960000000000003"/>
    <n v="111"/>
    <n v="3"/>
    <n v="96"/>
    <n v="0.13513513513513514"/>
    <n v="15"/>
  </r>
  <r>
    <x v="5"/>
    <s v="Frozen"/>
    <s v="Frozen Garlic Bread (16 oz)"/>
    <s v="each"/>
    <n v="1.35"/>
    <n v="1.2825"/>
    <n v="2.04"/>
    <n v="2.7540000000000004"/>
    <n v="112"/>
    <n v="2"/>
    <n v="95"/>
    <n v="0.15178571428571427"/>
    <n v="17"/>
  </r>
  <r>
    <x v="5"/>
    <s v="Frozen"/>
    <s v="Frozen Breakfast Sandwich (2-pack)"/>
    <s v="each"/>
    <n v="2.25"/>
    <n v="2.1374999999999997"/>
    <n v="2.0700000000000003"/>
    <n v="4.6575000000000006"/>
    <n v="74"/>
    <n v="1"/>
    <n v="71"/>
    <n v="4.0540540540540543E-2"/>
    <n v="3"/>
  </r>
  <r>
    <x v="5"/>
    <s v="Frozen"/>
    <s v="Frozen Veggie Burgers (4-pack)"/>
    <s v="each"/>
    <n v="2.8"/>
    <n v="2.6599999999999997"/>
    <n v="2.02"/>
    <n v="5.6559999999999997"/>
    <n v="105"/>
    <n v="2"/>
    <n v="18"/>
    <n v="0.82857142857142863"/>
    <n v="87"/>
  </r>
  <r>
    <x v="5"/>
    <s v="Deli"/>
    <s v="Sliced Turkey Breast"/>
    <s v="lb"/>
    <n v="5.25"/>
    <n v="4.9874999999999998"/>
    <n v="1.95"/>
    <n v="10.237499999999999"/>
    <n v="62"/>
    <n v="2"/>
    <n v="37"/>
    <n v="0.40322580645161288"/>
    <n v="25"/>
  </r>
  <r>
    <x v="5"/>
    <s v="Deli"/>
    <s v="Sliced Ham (Honey or Black Forest)"/>
    <s v="lb"/>
    <n v="4.75"/>
    <n v="4.5125000000000002"/>
    <n v="2.0700000000000003"/>
    <n v="9.8325000000000014"/>
    <n v="67"/>
    <n v="2"/>
    <n v="58"/>
    <n v="0.13432835820895522"/>
    <n v="9"/>
  </r>
  <r>
    <x v="5"/>
    <s v="Deli"/>
    <s v="Roast Beef (sliced)"/>
    <s v="lb"/>
    <n v="6.5"/>
    <n v="6.1749999999999998"/>
    <n v="1.95"/>
    <n v="12.674999999999999"/>
    <n v="35"/>
    <n v="1"/>
    <n v="4"/>
    <n v="0.88571428571428568"/>
    <n v="31"/>
  </r>
  <r>
    <x v="5"/>
    <s v="Deli"/>
    <s v="Genoa Salami"/>
    <s v="lb"/>
    <n v="5.75"/>
    <n v="5.4624999999999995"/>
    <n v="1.96"/>
    <n v="11.27"/>
    <n v="87"/>
    <n v="0"/>
    <n v="12"/>
    <n v="0.86206896551724133"/>
    <n v="75"/>
  </r>
  <r>
    <x v="5"/>
    <s v="Deli"/>
    <s v="Hard Salami"/>
    <s v="lb"/>
    <n v="5.5"/>
    <n v="5.2249999999999996"/>
    <n v="2"/>
    <n v="11"/>
    <n v="73"/>
    <n v="2"/>
    <n v="46"/>
    <n v="0.36986301369863012"/>
    <n v="27"/>
  </r>
  <r>
    <x v="5"/>
    <s v="Deli"/>
    <s v="Pepperoni (sliced)"/>
    <s v="lb"/>
    <n v="4.25"/>
    <n v="4.0374999999999996"/>
    <n v="2.06"/>
    <n v="8.7550000000000008"/>
    <n v="74"/>
    <n v="0"/>
    <n v="60"/>
    <n v="0.1891891891891892"/>
    <n v="14"/>
  </r>
  <r>
    <x v="5"/>
    <s v="Deli"/>
    <s v="Chicken Breast (sliced)"/>
    <s v="lb"/>
    <n v="5.0999999999999996"/>
    <n v="4.8449999999999998"/>
    <n v="2.0300000000000002"/>
    <n v="10.353"/>
    <n v="61"/>
    <n v="3"/>
    <n v="30"/>
    <n v="0.50819672131147542"/>
    <n v="31"/>
  </r>
  <r>
    <x v="5"/>
    <s v="Deli"/>
    <s v="Bologna"/>
    <s v="lb"/>
    <n v="2.8"/>
    <n v="2.6599999999999997"/>
    <n v="1.96"/>
    <n v="5.4879999999999995"/>
    <n v="74"/>
    <n v="4"/>
    <n v="21"/>
    <n v="0.71621621621621623"/>
    <n v="53"/>
  </r>
  <r>
    <x v="5"/>
    <s v="Deli"/>
    <s v="Mortadella"/>
    <s v="lb"/>
    <n v="4"/>
    <n v="3.8"/>
    <n v="1.98"/>
    <n v="7.92"/>
    <n v="90"/>
    <n v="2"/>
    <n v="85"/>
    <n v="5.5555555555555552E-2"/>
    <n v="5"/>
  </r>
  <r>
    <x v="5"/>
    <s v="Deli"/>
    <s v="Prosciutto"/>
    <s v="lb"/>
    <n v="9"/>
    <n v="8.5499999999999989"/>
    <n v="2.04"/>
    <n v="18.36"/>
    <n v="76"/>
    <n v="2"/>
    <n v="42"/>
    <n v="0.44736842105263158"/>
    <n v="34"/>
  </r>
  <r>
    <x v="5"/>
    <s v="Deli"/>
    <s v="American Cheese (processed)"/>
    <s v="lb"/>
    <n v="2.75"/>
    <n v="2.6124999999999998"/>
    <n v="1.99"/>
    <n v="5.4725000000000001"/>
    <n v="50"/>
    <n v="8"/>
    <n v="2"/>
    <n v="0.96"/>
    <n v="48"/>
  </r>
  <r>
    <x v="5"/>
    <s v="Deli"/>
    <s v="Cheddar Cheese (sharp)"/>
    <s v="lb"/>
    <n v="3.9"/>
    <n v="3.7049999999999996"/>
    <n v="1.96"/>
    <n v="7.6440000000000001"/>
    <n v="109"/>
    <n v="5"/>
    <n v="53"/>
    <n v="0.51376146788990829"/>
    <n v="56"/>
  </r>
  <r>
    <x v="5"/>
    <s v="Deli"/>
    <s v="Swiss Cheese"/>
    <s v="lb"/>
    <n v="4.3"/>
    <n v="4.085"/>
    <n v="2.0099999999999998"/>
    <n v="8.6429999999999989"/>
    <n v="114"/>
    <n v="7"/>
    <n v="9"/>
    <n v="0.92105263157894735"/>
    <n v="105"/>
  </r>
  <r>
    <x v="5"/>
    <s v="Deli"/>
    <s v="Provolone Cheese"/>
    <s v="lb"/>
    <n v="4"/>
    <n v="3.8"/>
    <n v="1.95"/>
    <n v="7.8"/>
    <n v="104"/>
    <n v="5"/>
    <n v="41"/>
    <n v="0.60576923076923073"/>
    <n v="63"/>
  </r>
  <r>
    <x v="5"/>
    <s v="Deli"/>
    <s v="Mozzarella (fresh, sliced)"/>
    <s v="lb"/>
    <n v="4.75"/>
    <n v="4.5125000000000002"/>
    <n v="2.08"/>
    <n v="9.8800000000000008"/>
    <n v="65"/>
    <n v="0"/>
    <n v="63"/>
    <n v="3.0769230769230771E-2"/>
    <n v="2"/>
  </r>
  <r>
    <x v="5"/>
    <s v="Deli"/>
    <s v="Coleslaw (prepared)"/>
    <s v="lb"/>
    <n v="2.25"/>
    <n v="2.1374999999999997"/>
    <n v="2"/>
    <n v="4.5"/>
    <n v="48"/>
    <n v="0"/>
    <n v="20"/>
    <n v="0.58333333333333337"/>
    <n v="28"/>
  </r>
  <r>
    <x v="5"/>
    <s v="Deli"/>
    <s v="Potato Salad (prepared)"/>
    <s v="lb"/>
    <n v="2.1"/>
    <n v="1.9949999999999999"/>
    <n v="2.1"/>
    <n v="4.41"/>
    <n v="49"/>
    <n v="2"/>
    <n v="15"/>
    <n v="0.69387755102040816"/>
    <n v="34"/>
  </r>
  <r>
    <x v="5"/>
    <s v="Deli"/>
    <s v="Macaroni Salad"/>
    <s v="lb"/>
    <n v="2"/>
    <n v="1.9"/>
    <n v="2.0700000000000003"/>
    <n v="4.1400000000000006"/>
    <n v="86"/>
    <n v="0"/>
    <n v="75"/>
    <n v="0.12790697674418605"/>
    <n v="11"/>
  </r>
  <r>
    <x v="5"/>
    <s v="Deli"/>
    <s v="Rotisserie Chicken (whole)"/>
    <s v="each"/>
    <n v="4.5"/>
    <n v="4.2749999999999995"/>
    <n v="2.1"/>
    <n v="9.4500000000000011"/>
    <n v="47"/>
    <n v="2"/>
    <n v="1"/>
    <n v="0.97872340425531912"/>
    <n v="46"/>
  </r>
  <r>
    <x v="5"/>
    <s v="Deli"/>
    <s v="Deli Sandwich (made to order)"/>
    <s v="each"/>
    <n v="3.75"/>
    <n v="3.5625"/>
    <n v="1.95"/>
    <n v="7.3125"/>
    <n v="76"/>
    <n v="1"/>
    <n v="40"/>
    <n v="0.47368421052631576"/>
    <n v="36"/>
  </r>
  <r>
    <x v="5"/>
    <s v="Dairy"/>
    <s v="Whole Milk (1 gallon)"/>
    <s v="each"/>
    <n v="2"/>
    <n v="1.9"/>
    <n v="2.0700000000000003"/>
    <n v="4.1400000000000006"/>
    <n v="164"/>
    <n v="2"/>
    <n v="151"/>
    <n v="7.926829268292683E-2"/>
    <n v="13"/>
  </r>
  <r>
    <x v="5"/>
    <s v="Dairy"/>
    <s v="2% Milk (1 gallon)"/>
    <s v="each"/>
    <n v="1.95"/>
    <n v="1.8524999999999998"/>
    <n v="1.96"/>
    <n v="3.8220000000000001"/>
    <n v="108"/>
    <n v="4"/>
    <n v="34"/>
    <n v="0.68518518518518523"/>
    <n v="74"/>
  </r>
  <r>
    <x v="5"/>
    <s v="Dairy"/>
    <s v="Skim Milk (1 gallon)"/>
    <s v="each"/>
    <n v="1.9"/>
    <n v="1.8049999999999999"/>
    <n v="1.97"/>
    <n v="3.7429999999999999"/>
    <n v="73"/>
    <n v="4"/>
    <n v="55"/>
    <n v="0.24657534246575341"/>
    <n v="18"/>
  </r>
  <r>
    <x v="5"/>
    <s v="Dairy"/>
    <s v="Organic Milk (1/2 gallon)"/>
    <s v="each"/>
    <n v="3.1"/>
    <n v="2.9449999999999998"/>
    <n v="2.02"/>
    <n v="6.2620000000000005"/>
    <n v="74"/>
    <n v="2"/>
    <n v="29"/>
    <n v="0.60810810810810811"/>
    <n v="45"/>
  </r>
  <r>
    <x v="5"/>
    <s v="Dairy"/>
    <s v="Heavy Whipping Cream (pint)"/>
    <s v="each"/>
    <n v="2"/>
    <n v="1.9"/>
    <n v="2.04"/>
    <n v="4.08"/>
    <n v="90"/>
    <n v="5"/>
    <n v="56"/>
    <n v="0.37777777777777777"/>
    <n v="34"/>
  </r>
  <r>
    <x v="5"/>
    <s v="Dairy"/>
    <s v="Half &amp; Half (quart)"/>
    <s v="each"/>
    <n v="1.7"/>
    <n v="1.615"/>
    <n v="2.0700000000000003"/>
    <n v="3.5190000000000006"/>
    <n v="60"/>
    <n v="1"/>
    <n v="29"/>
    <n v="0.51666666666666672"/>
    <n v="31"/>
  </r>
  <r>
    <x v="5"/>
    <s v="Dairy"/>
    <s v="Buttermilk (quart)"/>
    <s v="each"/>
    <n v="1.5"/>
    <n v="1.4249999999999998"/>
    <n v="1.97"/>
    <n v="2.9550000000000001"/>
    <n v="176"/>
    <n v="6"/>
    <n v="46"/>
    <n v="0.73863636363636365"/>
    <n v="130"/>
  </r>
  <r>
    <x v="5"/>
    <s v="Dairy"/>
    <s v="Butter (salted, 1 lb)"/>
    <s v="each"/>
    <n v="2.65"/>
    <n v="2.5174999999999996"/>
    <n v="2.1"/>
    <n v="5.5650000000000004"/>
    <n v="113"/>
    <n v="0"/>
    <n v="34"/>
    <n v="0.69911504424778759"/>
    <n v="79"/>
  </r>
  <r>
    <x v="5"/>
    <s v="Dairy"/>
    <s v="Margarine (1 lb)"/>
    <s v="each"/>
    <n v="1.2"/>
    <n v="1.1399999999999999"/>
    <n v="2.09"/>
    <n v="2.5079999999999996"/>
    <n v="177"/>
    <n v="8"/>
    <n v="18"/>
    <n v="0.89830508474576276"/>
    <n v="159"/>
  </r>
  <r>
    <x v="5"/>
    <s v="Dairy"/>
    <s v="Sour Cream (16 oz)"/>
    <s v="each"/>
    <n v="1.4"/>
    <n v="1.3299999999999998"/>
    <n v="1.99"/>
    <n v="2.786"/>
    <n v="62"/>
    <n v="3"/>
    <n v="49"/>
    <n v="0.20967741935483872"/>
    <n v="13"/>
  </r>
  <r>
    <x v="5"/>
    <s v="Dairy"/>
    <s v="Cottage Cheese (16 oz)"/>
    <s v="each"/>
    <n v="1.6"/>
    <n v="1.52"/>
    <n v="2.09"/>
    <n v="3.3439999999999999"/>
    <n v="75"/>
    <n v="1"/>
    <n v="7"/>
    <n v="0.90666666666666662"/>
    <n v="68"/>
  </r>
  <r>
    <x v="5"/>
    <s v="Dairy"/>
    <s v="Greek Yogurt (single 5.3 oz cup)"/>
    <s v="each"/>
    <n v="0.7"/>
    <n v="0.66499999999999992"/>
    <n v="2.02"/>
    <n v="1.4139999999999999"/>
    <n v="146"/>
    <n v="0"/>
    <n v="25"/>
    <n v="0.82876712328767121"/>
    <n v="121"/>
  </r>
  <r>
    <x v="5"/>
    <s v="Dairy"/>
    <s v="Yogurt (regular, 6 oz)"/>
    <s v="each"/>
    <n v="0.55000000000000004"/>
    <n v="0.52249999999999996"/>
    <n v="2.0300000000000002"/>
    <n v="1.1165000000000003"/>
    <n v="116"/>
    <n v="2"/>
    <n v="112"/>
    <n v="3.4482758620689655E-2"/>
    <n v="4"/>
  </r>
  <r>
    <x v="5"/>
    <s v="Dairy"/>
    <s v="Cream Cheese (8 oz block)"/>
    <s v="each"/>
    <n v="1.4"/>
    <n v="1.3299999999999998"/>
    <n v="2.0099999999999998"/>
    <n v="2.8139999999999996"/>
    <n v="134"/>
    <n v="0"/>
    <n v="70"/>
    <n v="0.47761194029850745"/>
    <n v="64"/>
  </r>
  <r>
    <x v="5"/>
    <s v="Dairy"/>
    <s v="Shredded Cheese (8 oz bag)"/>
    <s v="each"/>
    <n v="2"/>
    <n v="1.9"/>
    <n v="2.06"/>
    <n v="4.12"/>
    <n v="71"/>
    <n v="0"/>
    <n v="29"/>
    <n v="0.59154929577464788"/>
    <n v="42"/>
  </r>
  <r>
    <x v="5"/>
    <s v="Dairy"/>
    <s v="Sliced Cheese (8 oz)"/>
    <s v="each"/>
    <n v="2.25"/>
    <n v="2.1374999999999997"/>
    <n v="2.08"/>
    <n v="4.68"/>
    <n v="133"/>
    <n v="3"/>
    <n v="66"/>
    <n v="0.50375939849624063"/>
    <n v="67"/>
  </r>
  <r>
    <x v="5"/>
    <s v="Dairy"/>
    <s v="Cheddar Cheese Block (1 lb)"/>
    <s v="each"/>
    <n v="3.4"/>
    <n v="3.23"/>
    <n v="2.02"/>
    <n v="6.8679999999999994"/>
    <n v="155"/>
    <n v="2"/>
    <n v="64"/>
    <n v="0.58709677419354833"/>
    <n v="91"/>
  </r>
  <r>
    <x v="5"/>
    <s v="Dairy"/>
    <s v="Mozzarella (low moisture, 1 lb)"/>
    <s v="each"/>
    <n v="3.1"/>
    <n v="2.9449999999999998"/>
    <n v="1.95"/>
    <n v="6.0449999999999999"/>
    <n v="75"/>
    <n v="3"/>
    <n v="35"/>
    <n v="0.53333333333333333"/>
    <n v="40"/>
  </r>
  <r>
    <x v="5"/>
    <s v="Dairy"/>
    <s v="Eggs (dozen, large, Grade A)"/>
    <s v="each"/>
    <n v="1.5"/>
    <n v="1.4249999999999998"/>
    <n v="1.99"/>
    <n v="2.9849999999999999"/>
    <n v="131"/>
    <n v="7"/>
    <n v="24"/>
    <n v="0.81679389312977102"/>
    <n v="107"/>
  </r>
  <r>
    <x v="5"/>
    <s v="Dairy"/>
    <s v="Egg Substitute (16 oz carton)"/>
    <s v="each"/>
    <n v="1.9"/>
    <n v="1.8049999999999999"/>
    <n v="1.99"/>
    <n v="3.7809999999999997"/>
    <n v="161"/>
    <n v="2"/>
    <n v="36"/>
    <n v="0.77639751552795033"/>
    <n v="125"/>
  </r>
  <r>
    <x v="5"/>
    <s v="Bakery"/>
    <s v="White Sandwich Bread (loaf)"/>
    <s v="each"/>
    <n v="1.3"/>
    <n v="1.2349999999999999"/>
    <n v="2.0499999999999998"/>
    <n v="2.665"/>
    <n v="115"/>
    <n v="2"/>
    <n v="0"/>
    <n v="1"/>
    <n v="115"/>
  </r>
  <r>
    <x v="5"/>
    <s v="Bakery"/>
    <s v="Whole Wheat Bread (loaf)"/>
    <s v="each"/>
    <n v="1.6"/>
    <n v="1.52"/>
    <n v="2.0099999999999998"/>
    <n v="3.2159999999999997"/>
    <n v="63"/>
    <n v="0"/>
    <n v="14"/>
    <n v="0.77777777777777779"/>
    <n v="49"/>
  </r>
  <r>
    <x v="5"/>
    <s v="Bakery"/>
    <s v="French Baguette"/>
    <s v="each"/>
    <n v="1.35"/>
    <n v="1.2825"/>
    <n v="1.98"/>
    <n v="2.673"/>
    <n v="67"/>
    <n v="4"/>
    <n v="36"/>
    <n v="0.46268656716417911"/>
    <n v="31"/>
  </r>
  <r>
    <x v="5"/>
    <s v="Bakery"/>
    <s v="Italian Bread (loaf)"/>
    <s v="each"/>
    <n v="1.6"/>
    <n v="1.52"/>
    <n v="1.98"/>
    <n v="3.1680000000000001"/>
    <n v="47"/>
    <n v="1"/>
    <n v="12"/>
    <n v="0.74468085106382975"/>
    <n v="35"/>
  </r>
  <r>
    <x v="5"/>
    <s v="Bakery"/>
    <s v="Dinner Rolls (12-pack)"/>
    <s v="each"/>
    <n v="2.1"/>
    <n v="1.9949999999999999"/>
    <n v="1.95"/>
    <n v="4.0949999999999998"/>
    <n v="131"/>
    <n v="9"/>
    <n v="103"/>
    <n v="0.21374045801526717"/>
    <n v="28"/>
  </r>
  <r>
    <x v="5"/>
    <s v="Bakery"/>
    <s v="Kaiser Rolls (6-pack)"/>
    <s v="each"/>
    <n v="1.85"/>
    <n v="1.7575000000000001"/>
    <n v="2"/>
    <n v="3.7"/>
    <n v="75"/>
    <n v="5"/>
    <n v="7"/>
    <n v="0.90666666666666662"/>
    <n v="68"/>
  </r>
  <r>
    <x v="5"/>
    <s v="Bakery"/>
    <s v="Hamburger Buns (8-pack)"/>
    <s v="each"/>
    <n v="1.55"/>
    <n v="1.4724999999999999"/>
    <n v="1.98"/>
    <n v="3.069"/>
    <n v="129"/>
    <n v="2"/>
    <n v="4"/>
    <n v="0.96899224806201545"/>
    <n v="125"/>
  </r>
  <r>
    <x v="5"/>
    <s v="Bakery"/>
    <s v="Hot Dog Buns (8-pack)"/>
    <s v="each"/>
    <n v="1.55"/>
    <n v="1.4724999999999999"/>
    <n v="2.09"/>
    <n v="3.2395"/>
    <n v="47"/>
    <n v="0"/>
    <n v="8"/>
    <n v="0.82978723404255317"/>
    <n v="39"/>
  </r>
  <r>
    <x v="5"/>
    <s v="Bakery"/>
    <s v="English Muffins (6-pack)"/>
    <s v="each"/>
    <n v="1.75"/>
    <n v="1.6624999999999999"/>
    <n v="2.06"/>
    <n v="3.605"/>
    <n v="97"/>
    <n v="6"/>
    <n v="0"/>
    <n v="1"/>
    <n v="97"/>
  </r>
  <r>
    <x v="5"/>
    <s v="Bakery"/>
    <s v="Bagels (6-pack)"/>
    <s v="each"/>
    <n v="2.2000000000000002"/>
    <n v="2.09"/>
    <n v="2.0700000000000003"/>
    <n v="4.5540000000000012"/>
    <n v="99"/>
    <n v="5"/>
    <n v="35"/>
    <n v="0.64646464646464652"/>
    <n v="64"/>
  </r>
  <r>
    <x v="5"/>
    <s v="Bakery"/>
    <s v="Croissants (4-pack)"/>
    <s v="each"/>
    <n v="2.75"/>
    <n v="2.6124999999999998"/>
    <n v="1.98"/>
    <n v="5.4450000000000003"/>
    <n v="89"/>
    <n v="0"/>
    <n v="34"/>
    <n v="0.6179775280898876"/>
    <n v="55"/>
  </r>
  <r>
    <x v="5"/>
    <s v="Bakery"/>
    <s v="Muffins (4-pack, assorted)"/>
    <s v="each"/>
    <n v="2.4"/>
    <n v="2.2799999999999998"/>
    <n v="2"/>
    <n v="4.8"/>
    <n v="67"/>
    <n v="1"/>
    <n v="65"/>
    <n v="2.9850746268656716E-2"/>
    <n v="2"/>
  </r>
  <r>
    <x v="5"/>
    <s v="Bakery"/>
    <s v="Donuts (6-pack, glazed)"/>
    <s v="each"/>
    <n v="2.7"/>
    <n v="2.5649999999999999"/>
    <n v="1.97"/>
    <n v="5.319"/>
    <n v="131"/>
    <n v="5"/>
    <n v="62"/>
    <n v="0.52671755725190839"/>
    <n v="69"/>
  </r>
  <r>
    <x v="5"/>
    <s v="Bakery"/>
    <s v="Danish Pastries (4-pack)"/>
    <s v="each"/>
    <n v="2.6"/>
    <n v="2.4699999999999998"/>
    <n v="2.1"/>
    <n v="5.4600000000000009"/>
    <n v="140"/>
    <n v="0"/>
    <n v="103"/>
    <n v="0.26428571428571429"/>
    <n v="37"/>
  </r>
  <r>
    <x v="5"/>
    <s v="Bakery"/>
    <s v="Apple Pie (9”)"/>
    <s v="each"/>
    <n v="4"/>
    <n v="3.8"/>
    <n v="2.0700000000000003"/>
    <n v="8.2800000000000011"/>
    <n v="80"/>
    <n v="7"/>
    <n v="22"/>
    <n v="0.72499999999999998"/>
    <n v="58"/>
  </r>
  <r>
    <x v="5"/>
    <s v="Bakery"/>
    <s v="Pumpkin Pie (9”)"/>
    <s v="each"/>
    <n v="4.25"/>
    <n v="4.0374999999999996"/>
    <n v="2.06"/>
    <n v="8.7550000000000008"/>
    <n v="139"/>
    <n v="1"/>
    <n v="8"/>
    <n v="0.94244604316546765"/>
    <n v="131"/>
  </r>
  <r>
    <x v="5"/>
    <s v="Bakery"/>
    <s v="Chocolate Cake (single layer)"/>
    <s v="each"/>
    <n v="5"/>
    <n v="4.75"/>
    <n v="2.08"/>
    <n v="10.4"/>
    <n v="103"/>
    <n v="0"/>
    <n v="33"/>
    <n v="0.67961165048543692"/>
    <n v="70"/>
  </r>
  <r>
    <x v="5"/>
    <s v="Bakery"/>
    <s v="Cupcakes (6-pack)"/>
    <s v="each"/>
    <n v="3"/>
    <n v="2.8499999999999996"/>
    <n v="2.0300000000000002"/>
    <n v="6.0900000000000007"/>
    <n v="66"/>
    <n v="5"/>
    <n v="45"/>
    <n v="0.31818181818181818"/>
    <n v="21"/>
  </r>
  <r>
    <x v="5"/>
    <s v="Bakery"/>
    <s v="Brownies (6-pack)"/>
    <s v="each"/>
    <n v="2.4"/>
    <n v="2.2799999999999998"/>
    <n v="2.0499999999999998"/>
    <n v="4.919999999999999"/>
    <n v="102"/>
    <n v="1"/>
    <n v="77"/>
    <n v="0.24509803921568626"/>
    <n v="25"/>
  </r>
  <r>
    <x v="5"/>
    <s v="Bakery"/>
    <s v="Coffee Cake (whole)"/>
    <s v="each"/>
    <n v="3.25"/>
    <n v="3.0874999999999999"/>
    <n v="2.02"/>
    <n v="6.5650000000000004"/>
    <n v="56"/>
    <n v="2"/>
    <n v="3"/>
    <n v="0.9464285714285714"/>
    <n v="53"/>
  </r>
  <r>
    <x v="6"/>
    <s v="Produce"/>
    <s v="Bananas"/>
    <s v="lb"/>
    <n v="0.35"/>
    <n v="0.3745"/>
    <n v="1.97"/>
    <n v="0.6895"/>
    <n v="190"/>
    <n v="0"/>
    <n v="157"/>
    <n v="0.1736842105263158"/>
    <n v="33"/>
  </r>
  <r>
    <x v="6"/>
    <s v="Produce"/>
    <s v="Apples (Gala)"/>
    <s v="lb"/>
    <n v="0.85"/>
    <n v="0.90949999999999998"/>
    <n v="1.97"/>
    <n v="1.6744999999999999"/>
    <n v="95"/>
    <n v="0"/>
    <n v="94"/>
    <n v="1.0526315789473684E-2"/>
    <n v="1"/>
  </r>
  <r>
    <x v="6"/>
    <s v="Produce"/>
    <s v="Oranges (Navel)"/>
    <s v="lb"/>
    <n v="0.7"/>
    <n v="0.749"/>
    <n v="1.95"/>
    <n v="1.365"/>
    <n v="84"/>
    <n v="3"/>
    <n v="74"/>
    <n v="0.11904761904761904"/>
    <n v="10"/>
  </r>
  <r>
    <x v="6"/>
    <s v="Produce"/>
    <s v="Lemons"/>
    <s v="each"/>
    <n v="0.35"/>
    <n v="0.3745"/>
    <n v="2.0499999999999998"/>
    <n v="0.71749999999999992"/>
    <n v="183"/>
    <n v="2"/>
    <n v="98"/>
    <n v="0.46448087431693991"/>
    <n v="85"/>
  </r>
  <r>
    <x v="6"/>
    <s v="Produce"/>
    <s v="Limes"/>
    <s v="each"/>
    <n v="0.2"/>
    <n v="0.21400000000000002"/>
    <n v="2.08"/>
    <n v="0.41600000000000004"/>
    <n v="131"/>
    <n v="2"/>
    <n v="71"/>
    <n v="0.4580152671755725"/>
    <n v="60"/>
  </r>
  <r>
    <x v="6"/>
    <s v="Produce"/>
    <s v="Avocados (Hass)"/>
    <s v="each"/>
    <n v="0.75"/>
    <n v="0.80249999999999999"/>
    <n v="2.0099999999999998"/>
    <n v="1.5074999999999998"/>
    <n v="164"/>
    <n v="5"/>
    <n v="2"/>
    <n v="0.98780487804878048"/>
    <n v="162"/>
  </r>
  <r>
    <x v="6"/>
    <s v="Produce"/>
    <s v="Tomatoes (Roma)"/>
    <s v="lb"/>
    <n v="0.6"/>
    <n v="0.64200000000000002"/>
    <n v="2.02"/>
    <n v="1.212"/>
    <n v="96"/>
    <n v="3"/>
    <n v="13"/>
    <n v="0.86458333333333337"/>
    <n v="83"/>
  </r>
  <r>
    <x v="6"/>
    <s v="Produce"/>
    <s v="Potatoes (Russet)"/>
    <s v="lb"/>
    <n v="0.45"/>
    <n v="0.48150000000000004"/>
    <n v="2.08"/>
    <n v="0.93600000000000005"/>
    <n v="59"/>
    <n v="0"/>
    <n v="59"/>
    <n v="0"/>
    <n v="0"/>
  </r>
  <r>
    <x v="6"/>
    <s v="Produce"/>
    <s v="Onions (Yellow)"/>
    <s v="lb"/>
    <n v="0.4"/>
    <n v="0.42800000000000005"/>
    <n v="2.02"/>
    <n v="0.80800000000000005"/>
    <n v="105"/>
    <n v="1"/>
    <n v="76"/>
    <n v="0.27619047619047621"/>
    <n v="29"/>
  </r>
  <r>
    <x v="6"/>
    <s v="Produce"/>
    <s v="Carrots"/>
    <s v="lb"/>
    <n v="0.35"/>
    <n v="0.3745"/>
    <n v="1.98"/>
    <n v="0.69299999999999995"/>
    <n v="79"/>
    <n v="7"/>
    <n v="44"/>
    <n v="0.44303797468354428"/>
    <n v="35"/>
  </r>
  <r>
    <x v="6"/>
    <s v="Produce"/>
    <s v="Broccoli"/>
    <s v="lb"/>
    <n v="0.9"/>
    <n v="0.96300000000000008"/>
    <n v="2.0300000000000002"/>
    <n v="1.8270000000000002"/>
    <n v="158"/>
    <n v="4"/>
    <n v="33"/>
    <n v="0.79113924050632911"/>
    <n v="125"/>
  </r>
  <r>
    <x v="6"/>
    <s v="Produce"/>
    <s v="Lettuce (Romaine)"/>
    <s v="each"/>
    <n v="1"/>
    <n v="1.07"/>
    <n v="1.99"/>
    <n v="1.99"/>
    <n v="54"/>
    <n v="2"/>
    <n v="44"/>
    <n v="0.18518518518518517"/>
    <n v="10"/>
  </r>
  <r>
    <x v="6"/>
    <s v="Produce"/>
    <s v="Spinach (bagged)"/>
    <s v="lb"/>
    <n v="2.56"/>
    <n v="2.7392000000000003"/>
    <n v="2.06"/>
    <n v="5.2736000000000001"/>
    <n v="168"/>
    <n v="1"/>
    <n v="60"/>
    <n v="0.6428571428571429"/>
    <n v="108"/>
  </r>
  <r>
    <x v="6"/>
    <s v="Produce"/>
    <s v="Bell Peppers (Green)"/>
    <s v="lb"/>
    <n v="0.75"/>
    <n v="0.80249999999999999"/>
    <n v="2.04"/>
    <n v="1.53"/>
    <n v="82"/>
    <n v="1"/>
    <n v="15"/>
    <n v="0.81707317073170727"/>
    <n v="67"/>
  </r>
  <r>
    <x v="6"/>
    <s v="Produce"/>
    <s v="Cucumbers"/>
    <s v="each"/>
    <n v="0.4"/>
    <n v="0.42800000000000005"/>
    <n v="2.06"/>
    <n v="0.82400000000000007"/>
    <n v="167"/>
    <n v="4"/>
    <n v="65"/>
    <n v="0.6107784431137725"/>
    <n v="102"/>
  </r>
  <r>
    <x v="6"/>
    <s v="Produce"/>
    <s v="Grapes (Red Seedless)"/>
    <s v="lb"/>
    <n v="1.4"/>
    <n v="1.498"/>
    <n v="2.0300000000000002"/>
    <n v="2.8420000000000001"/>
    <n v="114"/>
    <n v="6"/>
    <n v="39"/>
    <n v="0.65789473684210531"/>
    <n v="75"/>
  </r>
  <r>
    <x v="6"/>
    <s v="Produce"/>
    <s v="Strawberries (1 lb)"/>
    <s v="lb"/>
    <n v="2"/>
    <n v="2.14"/>
    <n v="1.98"/>
    <n v="3.96"/>
    <n v="195"/>
    <n v="3"/>
    <n v="144"/>
    <n v="0.26153846153846155"/>
    <n v="51"/>
  </r>
  <r>
    <x v="6"/>
    <s v="Produce"/>
    <s v="Blueberries"/>
    <s v="lb"/>
    <n v="0.45"/>
    <n v="0.48150000000000004"/>
    <n v="1.96"/>
    <n v="0.88200000000000001"/>
    <n v="60"/>
    <n v="5"/>
    <n v="54"/>
    <n v="0.1"/>
    <n v="6"/>
  </r>
  <r>
    <x v="6"/>
    <s v="Produce"/>
    <s v="Pineapple"/>
    <s v="each"/>
    <n v="1.9"/>
    <n v="2.0329999999999999"/>
    <n v="1.95"/>
    <n v="3.7049999999999996"/>
    <n v="134"/>
    <n v="4"/>
    <n v="123"/>
    <n v="8.2089552238805971E-2"/>
    <n v="11"/>
  </r>
  <r>
    <x v="6"/>
    <s v="Produce"/>
    <s v="Watermelon (whole)"/>
    <s v="each"/>
    <n v="4"/>
    <n v="4.28"/>
    <n v="2.0700000000000003"/>
    <n v="8.2800000000000011"/>
    <n v="75"/>
    <n v="0"/>
    <n v="15"/>
    <n v="0.8"/>
    <n v="60"/>
  </r>
  <r>
    <x v="6"/>
    <s v="Meat"/>
    <s v="Ground Beef (80/20)"/>
    <s v="lb"/>
    <n v="2.85"/>
    <n v="3.0495000000000001"/>
    <n v="1.97"/>
    <n v="5.6145000000000005"/>
    <n v="82"/>
    <n v="1"/>
    <n v="59"/>
    <n v="0.28048780487804881"/>
    <n v="23"/>
  </r>
  <r>
    <x v="6"/>
    <s v="Meat"/>
    <s v="Ground Turkey"/>
    <s v="lb"/>
    <n v="2.5"/>
    <n v="2.6750000000000003"/>
    <n v="2.0099999999999998"/>
    <n v="5.0249999999999995"/>
    <n v="78"/>
    <n v="0"/>
    <n v="65"/>
    <n v="0.16666666666666666"/>
    <n v="13"/>
  </r>
  <r>
    <x v="6"/>
    <s v="Meat"/>
    <s v="Boneless Skinless Chicken Breast"/>
    <s v="lb"/>
    <n v="2.1"/>
    <n v="2.2470000000000003"/>
    <n v="2.09"/>
    <n v="4.3890000000000002"/>
    <n v="46"/>
    <n v="0"/>
    <n v="1"/>
    <n v="0.97826086956521741"/>
    <n v="45"/>
  </r>
  <r>
    <x v="6"/>
    <s v="Meat"/>
    <s v="Chicken Thighs (bone-in)"/>
    <s v="lb"/>
    <n v="1"/>
    <n v="1.07"/>
    <n v="2.0099999999999998"/>
    <n v="2.0099999999999998"/>
    <n v="68"/>
    <n v="6"/>
    <n v="25"/>
    <n v="0.63235294117647056"/>
    <n v="43"/>
  </r>
  <r>
    <x v="6"/>
    <s v="Meat"/>
    <s v="Whole Chicken"/>
    <s v="lb"/>
    <n v="0.9"/>
    <n v="0.96300000000000008"/>
    <n v="2.0700000000000003"/>
    <n v="1.8630000000000002"/>
    <n v="96"/>
    <n v="2"/>
    <n v="12"/>
    <n v="0.875"/>
    <n v="84"/>
  </r>
  <r>
    <x v="6"/>
    <s v="Meat"/>
    <s v="Pork Chops (bone-in)"/>
    <s v="lb"/>
    <n v="1.9"/>
    <n v="2.0329999999999999"/>
    <n v="2.04"/>
    <n v="3.8759999999999999"/>
    <n v="52"/>
    <n v="2"/>
    <n v="46"/>
    <n v="0.11538461538461539"/>
    <n v="6"/>
  </r>
  <r>
    <x v="6"/>
    <s v="Meat"/>
    <s v="Pork Shoulder (Boston Butt)"/>
    <s v="lb"/>
    <n v="1.3"/>
    <n v="1.3910000000000002"/>
    <n v="2.08"/>
    <n v="2.7040000000000002"/>
    <n v="20"/>
    <n v="0"/>
    <n v="1"/>
    <n v="0.95"/>
    <n v="19"/>
  </r>
  <r>
    <x v="6"/>
    <s v="Meat"/>
    <s v="Bacon (Regular Cut)"/>
    <s v="lb"/>
    <n v="4"/>
    <n v="4.28"/>
    <n v="2.0499999999999998"/>
    <n v="8.1999999999999993"/>
    <n v="40"/>
    <n v="1"/>
    <n v="38"/>
    <n v="0.05"/>
    <n v="2"/>
  </r>
  <r>
    <x v="6"/>
    <s v="Meat"/>
    <s v="Breakfast Sausage (bulk)"/>
    <s v="lb"/>
    <n v="2.2000000000000002"/>
    <n v="2.3540000000000005"/>
    <n v="2"/>
    <n v="4.4000000000000004"/>
    <n v="74"/>
    <n v="0"/>
    <n v="66"/>
    <n v="0.10810810810810811"/>
    <n v="8"/>
  </r>
  <r>
    <x v="6"/>
    <s v="Meat"/>
    <s v="Italian Sausage (links)"/>
    <s v="lb"/>
    <n v="2.75"/>
    <n v="2.9425000000000003"/>
    <n v="2.09"/>
    <n v="5.7474999999999996"/>
    <n v="25"/>
    <n v="0"/>
    <n v="7"/>
    <n v="0.72"/>
    <n v="18"/>
  </r>
  <r>
    <x v="6"/>
    <s v="Meat"/>
    <s v="Beef Chuck Roast"/>
    <s v="lb"/>
    <n v="3.5"/>
    <n v="3.7450000000000001"/>
    <n v="2.06"/>
    <n v="7.21"/>
    <n v="88"/>
    <n v="3"/>
    <n v="77"/>
    <n v="0.125"/>
    <n v="11"/>
  </r>
  <r>
    <x v="6"/>
    <s v="Meat"/>
    <s v="Beef Ribeye Steak (Boneless)"/>
    <s v="lb"/>
    <n v="8"/>
    <n v="8.56"/>
    <n v="2.02"/>
    <n v="16.16"/>
    <n v="24"/>
    <n v="1"/>
    <n v="23"/>
    <n v="4.1666666666666664E-2"/>
    <n v="1"/>
  </r>
  <r>
    <x v="6"/>
    <s v="Meat"/>
    <s v="New York Strip Steak"/>
    <s v="lb"/>
    <n v="7"/>
    <n v="7.49"/>
    <n v="2.06"/>
    <n v="14.42"/>
    <n v="22"/>
    <n v="3"/>
    <n v="6"/>
    <n v="0.72727272727272729"/>
    <n v="16"/>
  </r>
  <r>
    <x v="6"/>
    <s v="Meat"/>
    <s v="Chicken Wings"/>
    <s v="lb"/>
    <n v="1.8"/>
    <n v="1.9260000000000002"/>
    <n v="2.02"/>
    <n v="3.6360000000000001"/>
    <n v="72"/>
    <n v="0"/>
    <n v="52"/>
    <n v="0.27777777777777779"/>
    <n v="20"/>
  </r>
  <r>
    <x v="6"/>
    <s v="Meat"/>
    <s v="Lamb Chops"/>
    <s v="lb"/>
    <n v="9"/>
    <n v="9.6300000000000008"/>
    <n v="2.0099999999999998"/>
    <n v="18.089999999999996"/>
    <n v="42"/>
    <n v="0"/>
    <n v="38"/>
    <n v="9.5238095238095233E-2"/>
    <n v="4"/>
  </r>
  <r>
    <x v="6"/>
    <s v="Meat"/>
    <s v="Turkey (whole, frozen)"/>
    <s v="lb"/>
    <n v="0.95"/>
    <n v="1.0165"/>
    <n v="2.0700000000000003"/>
    <n v="1.9665000000000001"/>
    <n v="72"/>
    <n v="1"/>
    <n v="64"/>
    <n v="0.1111111111111111"/>
    <n v="8"/>
  </r>
  <r>
    <x v="6"/>
    <s v="Meat"/>
    <s v="Ham (bone-in, smoked)"/>
    <s v="lb"/>
    <n v="1.85"/>
    <n v="1.9795000000000003"/>
    <n v="2.0499999999999998"/>
    <n v="3.7925"/>
    <n v="56"/>
    <n v="2"/>
    <n v="16"/>
    <n v="0.7142857142857143"/>
    <n v="40"/>
  </r>
  <r>
    <x v="6"/>
    <s v="Meat"/>
    <s v="Deli Turkey Breast (sliced)"/>
    <s v="lb"/>
    <n v="5.5"/>
    <n v="5.8850000000000007"/>
    <n v="1.99"/>
    <n v="10.945"/>
    <n v="93"/>
    <n v="3"/>
    <n v="29"/>
    <n v="0.68817204301075274"/>
    <n v="64"/>
  </r>
  <r>
    <x v="6"/>
    <s v="Meat"/>
    <s v="Hot Dogs (beef, standard pack)"/>
    <s v="lb"/>
    <n v="1.9"/>
    <n v="2.0329999999999999"/>
    <n v="2.0099999999999998"/>
    <n v="3.8189999999999995"/>
    <n v="93"/>
    <n v="1"/>
    <n v="52"/>
    <n v="0.44086021505376344"/>
    <n v="41"/>
  </r>
  <r>
    <x v="6"/>
    <s v="Meat"/>
    <s v="Meatballs (pre-cooked)"/>
    <s v="lb"/>
    <n v="2.75"/>
    <n v="2.9425000000000003"/>
    <n v="2.06"/>
    <n v="5.665"/>
    <n v="36"/>
    <n v="1"/>
    <n v="12"/>
    <n v="0.66666666666666663"/>
    <n v="24"/>
  </r>
  <r>
    <x v="6"/>
    <s v="Frozen"/>
    <s v="Frozen Pizza (12”)"/>
    <s v="each"/>
    <n v="3.25"/>
    <n v="3.4775"/>
    <n v="2.0300000000000002"/>
    <n v="6.597500000000001"/>
    <n v="134"/>
    <n v="4"/>
    <n v="20"/>
    <n v="0.85074626865671643"/>
    <n v="114"/>
  </r>
  <r>
    <x v="6"/>
    <s v="Frozen"/>
    <s v="Frozen Mixed Vegetables (16 oz)"/>
    <s v="each"/>
    <n v="0.9"/>
    <n v="0.96300000000000008"/>
    <n v="1.97"/>
    <n v="1.7729999999999999"/>
    <n v="127"/>
    <n v="0"/>
    <n v="18"/>
    <n v="0.8582677165354331"/>
    <n v="109"/>
  </r>
  <r>
    <x v="6"/>
    <s v="Frozen"/>
    <s v="Frozen French Fries (32 oz)"/>
    <s v="each"/>
    <n v="1.6"/>
    <n v="1.7120000000000002"/>
    <n v="2.1"/>
    <n v="3.3600000000000003"/>
    <n v="122"/>
    <n v="1"/>
    <n v="52"/>
    <n v="0.57377049180327866"/>
    <n v="70"/>
  </r>
  <r>
    <x v="6"/>
    <s v="Frozen"/>
    <s v="Frozen Broccoli Florets (16 oz)"/>
    <s v="each"/>
    <n v="1.1000000000000001"/>
    <n v="1.1770000000000003"/>
    <n v="2.06"/>
    <n v="2.2660000000000005"/>
    <n v="159"/>
    <n v="5"/>
    <n v="18"/>
    <n v="0.8867924528301887"/>
    <n v="141"/>
  </r>
  <r>
    <x v="6"/>
    <s v="Frozen"/>
    <s v="Frozen Corn (16 oz)"/>
    <s v="each"/>
    <n v="0.95"/>
    <n v="1.0165"/>
    <n v="1.98"/>
    <n v="1.881"/>
    <n v="50"/>
    <n v="3"/>
    <n v="24"/>
    <n v="0.52"/>
    <n v="26"/>
  </r>
  <r>
    <x v="6"/>
    <s v="Frozen"/>
    <s v="Ice Cream (1.5 qt)"/>
    <s v="each"/>
    <n v="2.75"/>
    <n v="2.9425000000000003"/>
    <n v="1.99"/>
    <n v="5.4725000000000001"/>
    <n v="100"/>
    <n v="1"/>
    <n v="85"/>
    <n v="0.15"/>
    <n v="15"/>
  </r>
  <r>
    <x v="6"/>
    <s v="Frozen"/>
    <s v="Ice Cream Sandwiches (box of 6)"/>
    <s v="each"/>
    <n v="1.9"/>
    <n v="2.0329999999999999"/>
    <n v="1.96"/>
    <n v="3.7239999999999998"/>
    <n v="94"/>
    <n v="7"/>
    <n v="30"/>
    <n v="0.68085106382978722"/>
    <n v="64"/>
  </r>
  <r>
    <x v="6"/>
    <s v="Frozen"/>
    <s v="Frozen Chicken Nuggets (32 oz)"/>
    <s v="each"/>
    <n v="4"/>
    <n v="4.28"/>
    <n v="2.0099999999999998"/>
    <n v="8.0399999999999991"/>
    <n v="126"/>
    <n v="4"/>
    <n v="80"/>
    <n v="0.36507936507936506"/>
    <n v="46"/>
  </r>
  <r>
    <x v="6"/>
    <s v="Frozen"/>
    <s v="Frozen Burritos (individual)"/>
    <s v="each"/>
    <n v="0.8"/>
    <n v="0.85600000000000009"/>
    <n v="1.95"/>
    <n v="1.56"/>
    <n v="53"/>
    <n v="1"/>
    <n v="22"/>
    <n v="0.58490566037735847"/>
    <n v="31"/>
  </r>
  <r>
    <x v="6"/>
    <s v="Frozen"/>
    <s v="Frozen Meatballs (26 oz bag)"/>
    <s v="each"/>
    <n v="4.25"/>
    <n v="4.5475000000000003"/>
    <n v="2.0700000000000003"/>
    <n v="8.7975000000000012"/>
    <n v="111"/>
    <n v="3"/>
    <n v="31"/>
    <n v="0.72072072072072069"/>
    <n v="80"/>
  </r>
  <r>
    <x v="6"/>
    <s v="Frozen"/>
    <s v="Frozen Waffles (box of 10)"/>
    <s v="each"/>
    <n v="1.6"/>
    <n v="1.7120000000000002"/>
    <n v="2.02"/>
    <n v="3.2320000000000002"/>
    <n v="114"/>
    <n v="2"/>
    <n v="61"/>
    <n v="0.46491228070175439"/>
    <n v="53"/>
  </r>
  <r>
    <x v="6"/>
    <s v="Frozen"/>
    <s v="Frozen Pancakes (box of 12)"/>
    <s v="each"/>
    <n v="1.65"/>
    <n v="1.7655000000000001"/>
    <n v="1.99"/>
    <n v="3.2834999999999996"/>
    <n v="153"/>
    <n v="1"/>
    <n v="73"/>
    <n v="0.52287581699346408"/>
    <n v="80"/>
  </r>
  <r>
    <x v="6"/>
    <s v="Frozen"/>
    <s v="TV Dinner / Meal (10–12 oz)"/>
    <s v="each"/>
    <n v="2.2000000000000002"/>
    <n v="2.3540000000000005"/>
    <n v="1.97"/>
    <n v="4.3340000000000005"/>
    <n v="81"/>
    <n v="1"/>
    <n v="9"/>
    <n v="0.88888888888888884"/>
    <n v="72"/>
  </r>
  <r>
    <x v="6"/>
    <s v="Frozen"/>
    <s v="Frozen Fish Fillets (breaded, 24 oz)"/>
    <s v="each"/>
    <n v="4"/>
    <n v="4.28"/>
    <n v="2.04"/>
    <n v="8.16"/>
    <n v="83"/>
    <n v="1"/>
    <n v="71"/>
    <n v="0.14457831325301204"/>
    <n v="12"/>
  </r>
  <r>
    <x v="6"/>
    <s v="Frozen"/>
    <s v="Frozen Shrimp (raw, peeled, 1 lb)"/>
    <s v="each"/>
    <n v="5.25"/>
    <n v="5.6175000000000006"/>
    <n v="2.02"/>
    <n v="10.605"/>
    <n v="141"/>
    <n v="3"/>
    <n v="53"/>
    <n v="0.62411347517730498"/>
    <n v="88"/>
  </r>
  <r>
    <x v="6"/>
    <s v="Frozen"/>
    <s v="Frozen Fruit (Strawberries, 16 oz)"/>
    <s v="each"/>
    <n v="2"/>
    <n v="2.14"/>
    <n v="2.0099999999999998"/>
    <n v="4.0199999999999996"/>
    <n v="144"/>
    <n v="1"/>
    <n v="51"/>
    <n v="0.64583333333333337"/>
    <n v="93"/>
  </r>
  <r>
    <x v="6"/>
    <s v="Frozen"/>
    <s v="Frozen Pie (apple, 8”)"/>
    <s v="each"/>
    <n v="2.8"/>
    <n v="2.996"/>
    <n v="1.95"/>
    <n v="5.46"/>
    <n v="121"/>
    <n v="5"/>
    <n v="19"/>
    <n v="0.84297520661157022"/>
    <n v="102"/>
  </r>
  <r>
    <x v="6"/>
    <s v="Frozen"/>
    <s v="Frozen Garlic Bread (16 oz)"/>
    <s v="each"/>
    <n v="1.35"/>
    <n v="1.4445000000000001"/>
    <n v="2.04"/>
    <n v="2.7540000000000004"/>
    <n v="88"/>
    <n v="3"/>
    <n v="31"/>
    <n v="0.64772727272727271"/>
    <n v="57"/>
  </r>
  <r>
    <x v="6"/>
    <s v="Frozen"/>
    <s v="Frozen Breakfast Sandwich (2-pack)"/>
    <s v="each"/>
    <n v="2.25"/>
    <n v="2.4075000000000002"/>
    <n v="1.98"/>
    <n v="4.4550000000000001"/>
    <n v="75"/>
    <n v="0"/>
    <n v="13"/>
    <n v="0.82666666666666666"/>
    <n v="62"/>
  </r>
  <r>
    <x v="6"/>
    <s v="Frozen"/>
    <s v="Frozen Veggie Burgers (4-pack)"/>
    <s v="each"/>
    <n v="2.8"/>
    <n v="2.996"/>
    <n v="2.0099999999999998"/>
    <n v="5.6279999999999992"/>
    <n v="83"/>
    <n v="3"/>
    <n v="49"/>
    <n v="0.40963855421686746"/>
    <n v="34"/>
  </r>
  <r>
    <x v="6"/>
    <s v="Deli"/>
    <s v="Sliced Turkey Breast"/>
    <s v="lb"/>
    <n v="5.25"/>
    <n v="5.6175000000000006"/>
    <n v="2.04"/>
    <n v="10.71"/>
    <n v="83"/>
    <n v="1"/>
    <n v="27"/>
    <n v="0.67469879518072284"/>
    <n v="56"/>
  </r>
  <r>
    <x v="6"/>
    <s v="Deli"/>
    <s v="Sliced Ham (Honey or Black Forest)"/>
    <s v="lb"/>
    <n v="4.75"/>
    <n v="5.0825000000000005"/>
    <n v="2.04"/>
    <n v="9.69"/>
    <n v="32"/>
    <n v="2"/>
    <n v="13"/>
    <n v="0.59375"/>
    <n v="19"/>
  </r>
  <r>
    <x v="6"/>
    <s v="Deli"/>
    <s v="Roast Beef (sliced)"/>
    <s v="lb"/>
    <n v="6.5"/>
    <n v="6.9550000000000001"/>
    <n v="1.96"/>
    <n v="12.74"/>
    <n v="79"/>
    <n v="3"/>
    <n v="52"/>
    <n v="0.34177215189873417"/>
    <n v="27"/>
  </r>
  <r>
    <x v="6"/>
    <s v="Deli"/>
    <s v="Genoa Salami"/>
    <s v="lb"/>
    <n v="5.75"/>
    <n v="6.1525000000000007"/>
    <n v="1.98"/>
    <n v="11.385"/>
    <n v="41"/>
    <n v="0"/>
    <n v="23"/>
    <n v="0.43902439024390244"/>
    <n v="18"/>
  </r>
  <r>
    <x v="6"/>
    <s v="Deli"/>
    <s v="Hard Salami"/>
    <s v="lb"/>
    <n v="5.5"/>
    <n v="5.8850000000000007"/>
    <n v="2.04"/>
    <n v="11.22"/>
    <n v="94"/>
    <n v="2"/>
    <n v="78"/>
    <n v="0.1702127659574468"/>
    <n v="16"/>
  </r>
  <r>
    <x v="6"/>
    <s v="Deli"/>
    <s v="Pepperoni (sliced)"/>
    <s v="lb"/>
    <n v="4.25"/>
    <n v="4.5475000000000003"/>
    <n v="1.97"/>
    <n v="8.3725000000000005"/>
    <n v="83"/>
    <n v="0"/>
    <n v="21"/>
    <n v="0.74698795180722888"/>
    <n v="62"/>
  </r>
  <r>
    <x v="6"/>
    <s v="Deli"/>
    <s v="Chicken Breast (sliced)"/>
    <s v="lb"/>
    <n v="5.0999999999999996"/>
    <n v="5.4569999999999999"/>
    <n v="1.96"/>
    <n v="9.9959999999999987"/>
    <n v="34"/>
    <n v="0"/>
    <n v="29"/>
    <n v="0.14705882352941177"/>
    <n v="5"/>
  </r>
  <r>
    <x v="6"/>
    <s v="Deli"/>
    <s v="Bologna"/>
    <s v="lb"/>
    <n v="2.8"/>
    <n v="2.996"/>
    <n v="2.0499999999999998"/>
    <n v="5.7399999999999993"/>
    <n v="86"/>
    <n v="1"/>
    <n v="62"/>
    <n v="0.27906976744186046"/>
    <n v="24"/>
  </r>
  <r>
    <x v="6"/>
    <s v="Deli"/>
    <s v="Mortadella"/>
    <s v="lb"/>
    <n v="4"/>
    <n v="4.28"/>
    <n v="1.98"/>
    <n v="7.92"/>
    <n v="46"/>
    <n v="1"/>
    <n v="3"/>
    <n v="0.93478260869565222"/>
    <n v="43"/>
  </r>
  <r>
    <x v="6"/>
    <s v="Deli"/>
    <s v="Prosciutto"/>
    <s v="lb"/>
    <n v="9"/>
    <n v="9.6300000000000008"/>
    <n v="1.95"/>
    <n v="17.55"/>
    <n v="76"/>
    <n v="10"/>
    <n v="58"/>
    <n v="0.23684210526315788"/>
    <n v="18"/>
  </r>
  <r>
    <x v="6"/>
    <s v="Deli"/>
    <s v="American Cheese (processed)"/>
    <s v="lb"/>
    <n v="2.75"/>
    <n v="2.9425000000000003"/>
    <n v="1.96"/>
    <n v="5.39"/>
    <n v="52"/>
    <n v="1"/>
    <n v="22"/>
    <n v="0.57692307692307687"/>
    <n v="30"/>
  </r>
  <r>
    <x v="6"/>
    <s v="Deli"/>
    <s v="Cheddar Cheese (sharp)"/>
    <s v="lb"/>
    <n v="3.9"/>
    <n v="4.173"/>
    <n v="2.0300000000000002"/>
    <n v="7.9170000000000007"/>
    <n v="108"/>
    <n v="1"/>
    <n v="7"/>
    <n v="0.93518518518518523"/>
    <n v="101"/>
  </r>
  <r>
    <x v="6"/>
    <s v="Deli"/>
    <s v="Swiss Cheese"/>
    <s v="lb"/>
    <n v="4.3"/>
    <n v="4.601"/>
    <n v="1.98"/>
    <n v="8.5139999999999993"/>
    <n v="114"/>
    <n v="2"/>
    <n v="81"/>
    <n v="0.28947368421052633"/>
    <n v="33"/>
  </r>
  <r>
    <x v="6"/>
    <s v="Deli"/>
    <s v="Provolone Cheese"/>
    <s v="lb"/>
    <n v="4"/>
    <n v="4.28"/>
    <n v="1.97"/>
    <n v="7.88"/>
    <n v="43"/>
    <n v="0"/>
    <n v="11"/>
    <n v="0.7441860465116279"/>
    <n v="32"/>
  </r>
  <r>
    <x v="6"/>
    <s v="Deli"/>
    <s v="Mozzarella (fresh, sliced)"/>
    <s v="lb"/>
    <n v="4.75"/>
    <n v="5.0825000000000005"/>
    <n v="1.97"/>
    <n v="9.3574999999999999"/>
    <n v="95"/>
    <n v="8"/>
    <n v="30"/>
    <n v="0.68421052631578949"/>
    <n v="65"/>
  </r>
  <r>
    <x v="6"/>
    <s v="Deli"/>
    <s v="Coleslaw (prepared)"/>
    <s v="lb"/>
    <n v="2.25"/>
    <n v="2.4075000000000002"/>
    <n v="2.02"/>
    <n v="4.5449999999999999"/>
    <n v="104"/>
    <n v="3"/>
    <n v="77"/>
    <n v="0.25961538461538464"/>
    <n v="27"/>
  </r>
  <r>
    <x v="6"/>
    <s v="Deli"/>
    <s v="Potato Salad (prepared)"/>
    <s v="lb"/>
    <n v="2.1"/>
    <n v="2.2470000000000003"/>
    <n v="2.06"/>
    <n v="4.3260000000000005"/>
    <n v="80"/>
    <n v="4"/>
    <n v="33"/>
    <n v="0.58750000000000002"/>
    <n v="47"/>
  </r>
  <r>
    <x v="6"/>
    <s v="Deli"/>
    <s v="Macaroni Salad"/>
    <s v="lb"/>
    <n v="2"/>
    <n v="2.14"/>
    <n v="2.0099999999999998"/>
    <n v="4.0199999999999996"/>
    <n v="67"/>
    <n v="0"/>
    <n v="48"/>
    <n v="0.28358208955223879"/>
    <n v="19"/>
  </r>
  <r>
    <x v="6"/>
    <s v="Deli"/>
    <s v="Rotisserie Chicken (whole)"/>
    <s v="each"/>
    <n v="4.5"/>
    <n v="4.8150000000000004"/>
    <n v="2.08"/>
    <n v="9.36"/>
    <n v="93"/>
    <n v="1"/>
    <n v="78"/>
    <n v="0.16129032258064516"/>
    <n v="15"/>
  </r>
  <r>
    <x v="6"/>
    <s v="Deli"/>
    <s v="Deli Sandwich (made to order)"/>
    <s v="each"/>
    <n v="3.75"/>
    <n v="4.0125000000000002"/>
    <n v="1.99"/>
    <n v="7.4625000000000004"/>
    <n v="67"/>
    <n v="1"/>
    <n v="56"/>
    <n v="0.16417910447761194"/>
    <n v="11"/>
  </r>
  <r>
    <x v="6"/>
    <s v="Dairy"/>
    <s v="Whole Milk (1 gallon)"/>
    <s v="each"/>
    <n v="2"/>
    <n v="2.14"/>
    <n v="2.0700000000000003"/>
    <n v="4.1400000000000006"/>
    <n v="109"/>
    <n v="5"/>
    <n v="94"/>
    <n v="0.13761467889908258"/>
    <n v="15"/>
  </r>
  <r>
    <x v="6"/>
    <s v="Dairy"/>
    <s v="2% Milk (1 gallon)"/>
    <s v="each"/>
    <n v="1.95"/>
    <n v="2.0865"/>
    <n v="2.08"/>
    <n v="4.056"/>
    <n v="157"/>
    <n v="0"/>
    <n v="92"/>
    <n v="0.4140127388535032"/>
    <n v="65"/>
  </r>
  <r>
    <x v="6"/>
    <s v="Dairy"/>
    <s v="Skim Milk (1 gallon)"/>
    <s v="each"/>
    <n v="1.9"/>
    <n v="2.0329999999999999"/>
    <n v="2.1"/>
    <n v="3.9899999999999998"/>
    <n v="141"/>
    <n v="1"/>
    <n v="17"/>
    <n v="0.87943262411347523"/>
    <n v="124"/>
  </r>
  <r>
    <x v="6"/>
    <s v="Dairy"/>
    <s v="Organic Milk (1/2 gallon)"/>
    <s v="each"/>
    <n v="3.1"/>
    <n v="3.3170000000000002"/>
    <n v="2.09"/>
    <n v="6.4790000000000001"/>
    <n v="89"/>
    <n v="9"/>
    <n v="37"/>
    <n v="0.5842696629213483"/>
    <n v="52"/>
  </r>
  <r>
    <x v="6"/>
    <s v="Dairy"/>
    <s v="Heavy Whipping Cream (pint)"/>
    <s v="each"/>
    <n v="2"/>
    <n v="2.14"/>
    <n v="2.0499999999999998"/>
    <n v="4.0999999999999996"/>
    <n v="138"/>
    <n v="2"/>
    <n v="86"/>
    <n v="0.37681159420289856"/>
    <n v="52"/>
  </r>
  <r>
    <x v="6"/>
    <s v="Dairy"/>
    <s v="Half &amp; Half (quart)"/>
    <s v="each"/>
    <n v="1.7"/>
    <n v="1.819"/>
    <n v="1.98"/>
    <n v="3.3660000000000001"/>
    <n v="150"/>
    <n v="1"/>
    <n v="87"/>
    <n v="0.42"/>
    <n v="63"/>
  </r>
  <r>
    <x v="6"/>
    <s v="Dairy"/>
    <s v="Buttermilk (quart)"/>
    <s v="each"/>
    <n v="1.5"/>
    <n v="1.605"/>
    <n v="1.95"/>
    <n v="2.9249999999999998"/>
    <n v="110"/>
    <n v="0"/>
    <n v="49"/>
    <n v="0.55454545454545456"/>
    <n v="61"/>
  </r>
  <r>
    <x v="6"/>
    <s v="Dairy"/>
    <s v="Butter (salted, 1 lb)"/>
    <s v="each"/>
    <n v="2.65"/>
    <n v="2.8355000000000001"/>
    <n v="2.06"/>
    <n v="5.4589999999999996"/>
    <n v="122"/>
    <n v="9"/>
    <n v="7"/>
    <n v="0.94262295081967218"/>
    <n v="115"/>
  </r>
  <r>
    <x v="6"/>
    <s v="Dairy"/>
    <s v="Margarine (1 lb)"/>
    <s v="each"/>
    <n v="1.2"/>
    <n v="1.284"/>
    <n v="2.04"/>
    <n v="2.448"/>
    <n v="157"/>
    <n v="0"/>
    <n v="133"/>
    <n v="0.15286624203821655"/>
    <n v="24"/>
  </r>
  <r>
    <x v="6"/>
    <s v="Dairy"/>
    <s v="Sour Cream (16 oz)"/>
    <s v="each"/>
    <n v="1.4"/>
    <n v="1.498"/>
    <n v="2.1"/>
    <n v="2.94"/>
    <n v="111"/>
    <n v="4"/>
    <n v="68"/>
    <n v="0.38738738738738737"/>
    <n v="43"/>
  </r>
  <r>
    <x v="6"/>
    <s v="Dairy"/>
    <s v="Cottage Cheese (16 oz)"/>
    <s v="each"/>
    <n v="1.6"/>
    <n v="1.7120000000000002"/>
    <n v="2.08"/>
    <n v="3.3280000000000003"/>
    <n v="97"/>
    <n v="4"/>
    <n v="43"/>
    <n v="0.55670103092783507"/>
    <n v="54"/>
  </r>
  <r>
    <x v="6"/>
    <s v="Dairy"/>
    <s v="Greek Yogurt (single 5.3 oz cup)"/>
    <s v="each"/>
    <n v="0.7"/>
    <n v="0.749"/>
    <n v="1.99"/>
    <n v="1.393"/>
    <n v="156"/>
    <n v="0"/>
    <n v="120"/>
    <n v="0.23076923076923078"/>
    <n v="36"/>
  </r>
  <r>
    <x v="6"/>
    <s v="Dairy"/>
    <s v="Yogurt (regular, 6 oz)"/>
    <s v="each"/>
    <n v="0.55000000000000004"/>
    <n v="0.58850000000000013"/>
    <n v="2.0099999999999998"/>
    <n v="1.1054999999999999"/>
    <n v="147"/>
    <n v="3"/>
    <n v="63"/>
    <n v="0.5714285714285714"/>
    <n v="84"/>
  </r>
  <r>
    <x v="6"/>
    <s v="Dairy"/>
    <s v="Cream Cheese (8 oz block)"/>
    <s v="each"/>
    <n v="1.4"/>
    <n v="1.498"/>
    <n v="1.95"/>
    <n v="2.73"/>
    <n v="138"/>
    <n v="0"/>
    <n v="138"/>
    <n v="0"/>
    <n v="0"/>
  </r>
  <r>
    <x v="6"/>
    <s v="Dairy"/>
    <s v="Shredded Cheese (8 oz bag)"/>
    <s v="each"/>
    <n v="2"/>
    <n v="2.14"/>
    <n v="1.98"/>
    <n v="3.96"/>
    <n v="89"/>
    <n v="1"/>
    <n v="64"/>
    <n v="0.2808988764044944"/>
    <n v="25"/>
  </r>
  <r>
    <x v="6"/>
    <s v="Dairy"/>
    <s v="Sliced Cheese (8 oz)"/>
    <s v="each"/>
    <n v="2.25"/>
    <n v="2.4075000000000002"/>
    <n v="2.02"/>
    <n v="4.5449999999999999"/>
    <n v="178"/>
    <n v="5"/>
    <n v="106"/>
    <n v="0.4044943820224719"/>
    <n v="72"/>
  </r>
  <r>
    <x v="6"/>
    <s v="Dairy"/>
    <s v="Cheddar Cheese Block (1 lb)"/>
    <s v="each"/>
    <n v="3.4"/>
    <n v="3.6379999999999999"/>
    <n v="1.97"/>
    <n v="6.6979999999999995"/>
    <n v="165"/>
    <n v="6"/>
    <n v="146"/>
    <n v="0.11515151515151516"/>
    <n v="19"/>
  </r>
  <r>
    <x v="6"/>
    <s v="Dairy"/>
    <s v="Mozzarella (low moisture, 1 lb)"/>
    <s v="each"/>
    <n v="3.1"/>
    <n v="3.3170000000000002"/>
    <n v="2.04"/>
    <n v="6.3240000000000007"/>
    <n v="110"/>
    <n v="3"/>
    <n v="8"/>
    <n v="0.92727272727272725"/>
    <n v="102"/>
  </r>
  <r>
    <x v="6"/>
    <s v="Dairy"/>
    <s v="Eggs (dozen, large, Grade A)"/>
    <s v="each"/>
    <n v="1.5"/>
    <n v="1.605"/>
    <n v="1.97"/>
    <n v="2.9550000000000001"/>
    <n v="140"/>
    <n v="2"/>
    <n v="99"/>
    <n v="0.29285714285714287"/>
    <n v="41"/>
  </r>
  <r>
    <x v="6"/>
    <s v="Dairy"/>
    <s v="Egg Substitute (16 oz carton)"/>
    <s v="each"/>
    <n v="1.9"/>
    <n v="2.0329999999999999"/>
    <n v="2.02"/>
    <n v="3.8379999999999996"/>
    <n v="64"/>
    <n v="0"/>
    <n v="14"/>
    <n v="0.78125"/>
    <n v="50"/>
  </r>
  <r>
    <x v="6"/>
    <s v="Bakery"/>
    <s v="White Sandwich Bread (loaf)"/>
    <s v="each"/>
    <n v="1.3"/>
    <n v="1.3910000000000002"/>
    <n v="2.0700000000000003"/>
    <n v="2.6910000000000003"/>
    <n v="68"/>
    <n v="0"/>
    <n v="50"/>
    <n v="0.26470588235294118"/>
    <n v="18"/>
  </r>
  <r>
    <x v="6"/>
    <s v="Bakery"/>
    <s v="Whole Wheat Bread (loaf)"/>
    <s v="each"/>
    <n v="1.6"/>
    <n v="1.7120000000000002"/>
    <n v="2.0300000000000002"/>
    <n v="3.2480000000000007"/>
    <n v="43"/>
    <n v="0"/>
    <n v="12"/>
    <n v="0.72093023255813948"/>
    <n v="31"/>
  </r>
  <r>
    <x v="6"/>
    <s v="Bakery"/>
    <s v="French Baguette"/>
    <s v="each"/>
    <n v="1.35"/>
    <n v="1.4445000000000001"/>
    <n v="1.95"/>
    <n v="2.6325000000000003"/>
    <n v="49"/>
    <n v="0"/>
    <n v="18"/>
    <n v="0.63265306122448983"/>
    <n v="31"/>
  </r>
  <r>
    <x v="6"/>
    <s v="Bakery"/>
    <s v="Italian Bread (loaf)"/>
    <s v="each"/>
    <n v="1.6"/>
    <n v="1.7120000000000002"/>
    <n v="2.0099999999999998"/>
    <n v="3.2159999999999997"/>
    <n v="95"/>
    <n v="1"/>
    <n v="48"/>
    <n v="0.49473684210526314"/>
    <n v="47"/>
  </r>
  <r>
    <x v="6"/>
    <s v="Bakery"/>
    <s v="Dinner Rolls (12-pack)"/>
    <s v="each"/>
    <n v="2.1"/>
    <n v="2.2470000000000003"/>
    <n v="2.08"/>
    <n v="4.3680000000000003"/>
    <n v="56"/>
    <n v="1"/>
    <n v="5"/>
    <n v="0.9107142857142857"/>
    <n v="51"/>
  </r>
  <r>
    <x v="6"/>
    <s v="Bakery"/>
    <s v="Kaiser Rolls (6-pack)"/>
    <s v="each"/>
    <n v="1.85"/>
    <n v="1.9795000000000003"/>
    <n v="1.97"/>
    <n v="3.6445000000000003"/>
    <n v="113"/>
    <n v="1"/>
    <n v="111"/>
    <n v="1.7699115044247787E-2"/>
    <n v="2"/>
  </r>
  <r>
    <x v="6"/>
    <s v="Bakery"/>
    <s v="Hamburger Buns (8-pack)"/>
    <s v="each"/>
    <n v="1.55"/>
    <n v="1.6585000000000001"/>
    <n v="2.02"/>
    <n v="3.1310000000000002"/>
    <n v="56"/>
    <n v="0"/>
    <n v="55"/>
    <n v="1.7857142857142856E-2"/>
    <n v="1"/>
  </r>
  <r>
    <x v="6"/>
    <s v="Bakery"/>
    <s v="Hot Dog Buns (8-pack)"/>
    <s v="each"/>
    <n v="1.55"/>
    <n v="1.6585000000000001"/>
    <n v="1.99"/>
    <n v="3.0845000000000002"/>
    <n v="123"/>
    <n v="2"/>
    <n v="75"/>
    <n v="0.3902439024390244"/>
    <n v="48"/>
  </r>
  <r>
    <x v="6"/>
    <s v="Bakery"/>
    <s v="English Muffins (6-pack)"/>
    <s v="each"/>
    <n v="1.75"/>
    <n v="1.8725000000000001"/>
    <n v="2.08"/>
    <n v="3.64"/>
    <n v="127"/>
    <n v="5"/>
    <n v="50"/>
    <n v="0.60629921259842523"/>
    <n v="77"/>
  </r>
  <r>
    <x v="6"/>
    <s v="Bakery"/>
    <s v="Bagels (6-pack)"/>
    <s v="each"/>
    <n v="2.2000000000000002"/>
    <n v="2.3540000000000005"/>
    <n v="1.99"/>
    <n v="4.3780000000000001"/>
    <n v="108"/>
    <n v="1"/>
    <n v="36"/>
    <n v="0.66666666666666663"/>
    <n v="72"/>
  </r>
  <r>
    <x v="6"/>
    <s v="Bakery"/>
    <s v="Croissants (4-pack)"/>
    <s v="each"/>
    <n v="2.75"/>
    <n v="2.9425000000000003"/>
    <n v="1.98"/>
    <n v="5.4450000000000003"/>
    <n v="73"/>
    <n v="8"/>
    <n v="16"/>
    <n v="0.78082191780821919"/>
    <n v="57"/>
  </r>
  <r>
    <x v="6"/>
    <s v="Bakery"/>
    <s v="Muffins (4-pack, assorted)"/>
    <s v="each"/>
    <n v="2.4"/>
    <n v="2.5680000000000001"/>
    <n v="2.08"/>
    <n v="4.992"/>
    <n v="45"/>
    <n v="6"/>
    <n v="22"/>
    <n v="0.51111111111111107"/>
    <n v="23"/>
  </r>
  <r>
    <x v="6"/>
    <s v="Bakery"/>
    <s v="Donuts (6-pack, glazed)"/>
    <s v="each"/>
    <n v="2.7"/>
    <n v="2.8890000000000002"/>
    <n v="2.0499999999999998"/>
    <n v="5.5350000000000001"/>
    <n v="92"/>
    <n v="0"/>
    <n v="89"/>
    <n v="3.2608695652173912E-2"/>
    <n v="3"/>
  </r>
  <r>
    <x v="6"/>
    <s v="Bakery"/>
    <s v="Danish Pastries (4-pack)"/>
    <s v="each"/>
    <n v="2.6"/>
    <n v="2.7820000000000005"/>
    <n v="2.1"/>
    <n v="5.4600000000000009"/>
    <n v="105"/>
    <n v="5"/>
    <n v="28"/>
    <n v="0.73333333333333328"/>
    <n v="77"/>
  </r>
  <r>
    <x v="6"/>
    <s v="Bakery"/>
    <s v="Apple Pie (9”)"/>
    <s v="each"/>
    <n v="4"/>
    <n v="4.28"/>
    <n v="2.0099999999999998"/>
    <n v="8.0399999999999991"/>
    <n v="116"/>
    <n v="2"/>
    <n v="32"/>
    <n v="0.72413793103448276"/>
    <n v="84"/>
  </r>
  <r>
    <x v="6"/>
    <s v="Bakery"/>
    <s v="Pumpkin Pie (9”)"/>
    <s v="each"/>
    <n v="4.25"/>
    <n v="4.5475000000000003"/>
    <n v="2.08"/>
    <n v="8.84"/>
    <n v="146"/>
    <n v="2"/>
    <n v="59"/>
    <n v="0.59589041095890416"/>
    <n v="87"/>
  </r>
  <r>
    <x v="6"/>
    <s v="Bakery"/>
    <s v="Chocolate Cake (single layer)"/>
    <s v="each"/>
    <n v="5"/>
    <n v="5.3500000000000005"/>
    <n v="2.08"/>
    <n v="10.4"/>
    <n v="82"/>
    <n v="1"/>
    <n v="54"/>
    <n v="0.34146341463414637"/>
    <n v="28"/>
  </r>
  <r>
    <x v="6"/>
    <s v="Bakery"/>
    <s v="Cupcakes (6-pack)"/>
    <s v="each"/>
    <n v="3"/>
    <n v="3.21"/>
    <n v="1.99"/>
    <n v="5.97"/>
    <n v="114"/>
    <n v="2"/>
    <n v="9"/>
    <n v="0.92105263157894735"/>
    <n v="105"/>
  </r>
  <r>
    <x v="6"/>
    <s v="Bakery"/>
    <s v="Brownies (6-pack)"/>
    <s v="each"/>
    <n v="2.4"/>
    <n v="2.5680000000000001"/>
    <n v="1.98"/>
    <n v="4.7519999999999998"/>
    <n v="62"/>
    <n v="1"/>
    <n v="46"/>
    <n v="0.25806451612903225"/>
    <n v="16"/>
  </r>
  <r>
    <x v="6"/>
    <s v="Bakery"/>
    <s v="Coffee Cake (whole)"/>
    <s v="each"/>
    <n v="3.25"/>
    <n v="3.4775"/>
    <n v="2.0300000000000002"/>
    <n v="6.597500000000001"/>
    <n v="94"/>
    <n v="2"/>
    <n v="22"/>
    <n v="0.76595744680851063"/>
    <n v="72"/>
  </r>
  <r>
    <x v="7"/>
    <s v="Produce"/>
    <s v="Bananas"/>
    <s v="lb"/>
    <n v="0.35"/>
    <n v="0.36049999999999999"/>
    <n v="2.06"/>
    <n v="0.72099999999999997"/>
    <n v="129"/>
    <n v="3"/>
    <n v="129"/>
    <n v="0"/>
    <n v="0"/>
  </r>
  <r>
    <x v="7"/>
    <s v="Produce"/>
    <s v="Apples (Gala)"/>
    <s v="lb"/>
    <n v="0.85"/>
    <n v="0.87549999999999994"/>
    <n v="2.0099999999999998"/>
    <n v="1.7084999999999997"/>
    <n v="144"/>
    <n v="3"/>
    <n v="144"/>
    <n v="0"/>
    <n v="0"/>
  </r>
  <r>
    <x v="7"/>
    <s v="Produce"/>
    <s v="Oranges (Navel)"/>
    <s v="lb"/>
    <n v="0.7"/>
    <n v="0.72099999999999997"/>
    <n v="2.0099999999999998"/>
    <n v="1.4069999999999998"/>
    <n v="167"/>
    <n v="2"/>
    <n v="167"/>
    <n v="0"/>
    <n v="0"/>
  </r>
  <r>
    <x v="7"/>
    <s v="Produce"/>
    <s v="Lemons"/>
    <s v="each"/>
    <n v="0.35"/>
    <n v="0.36049999999999999"/>
    <n v="2.1"/>
    <n v="0.73499999999999999"/>
    <n v="193"/>
    <n v="4"/>
    <n v="193"/>
    <n v="0"/>
    <n v="0"/>
  </r>
  <r>
    <x v="7"/>
    <s v="Produce"/>
    <s v="Limes"/>
    <s v="each"/>
    <n v="0.2"/>
    <n v="0.20600000000000002"/>
    <n v="2.0300000000000002"/>
    <n v="0.40600000000000008"/>
    <n v="57"/>
    <n v="0"/>
    <n v="57"/>
    <n v="0"/>
    <n v="0"/>
  </r>
  <r>
    <x v="7"/>
    <s v="Produce"/>
    <s v="Avocados (Hass)"/>
    <s v="each"/>
    <n v="0.75"/>
    <n v="0.77249999999999996"/>
    <n v="2"/>
    <n v="1.5"/>
    <n v="181"/>
    <n v="0"/>
    <n v="181"/>
    <n v="0"/>
    <n v="0"/>
  </r>
  <r>
    <x v="7"/>
    <s v="Produce"/>
    <s v="Tomatoes (Roma)"/>
    <s v="lb"/>
    <n v="0.6"/>
    <n v="0.61799999999999999"/>
    <n v="2.0099999999999998"/>
    <n v="1.2059999999999997"/>
    <n v="153"/>
    <n v="5"/>
    <n v="153"/>
    <n v="0"/>
    <n v="0"/>
  </r>
  <r>
    <x v="7"/>
    <s v="Produce"/>
    <s v="Potatoes (Russet)"/>
    <s v="lb"/>
    <n v="0.45"/>
    <n v="0.46350000000000002"/>
    <n v="2.08"/>
    <n v="0.93600000000000005"/>
    <n v="181"/>
    <n v="1"/>
    <n v="181"/>
    <n v="0"/>
    <n v="0"/>
  </r>
  <r>
    <x v="7"/>
    <s v="Produce"/>
    <s v="Onions (Yellow)"/>
    <s v="lb"/>
    <n v="0.4"/>
    <n v="0.41200000000000003"/>
    <n v="1.96"/>
    <n v="0.78400000000000003"/>
    <n v="74"/>
    <n v="0"/>
    <n v="74"/>
    <n v="0"/>
    <n v="0"/>
  </r>
  <r>
    <x v="7"/>
    <s v="Produce"/>
    <s v="Carrots"/>
    <s v="lb"/>
    <n v="0.35"/>
    <n v="0.36049999999999999"/>
    <n v="1.95"/>
    <n v="0.6825"/>
    <n v="145"/>
    <n v="0"/>
    <n v="145"/>
    <n v="0"/>
    <n v="0"/>
  </r>
  <r>
    <x v="7"/>
    <s v="Produce"/>
    <s v="Broccoli"/>
    <s v="lb"/>
    <n v="0.9"/>
    <n v="0.92700000000000005"/>
    <n v="2.0499999999999998"/>
    <n v="1.845"/>
    <n v="142"/>
    <n v="0"/>
    <n v="142"/>
    <n v="0"/>
    <n v="0"/>
  </r>
  <r>
    <x v="7"/>
    <s v="Produce"/>
    <s v="Lettuce (Romaine)"/>
    <s v="each"/>
    <n v="1"/>
    <n v="1.03"/>
    <n v="2.06"/>
    <n v="2.06"/>
    <n v="110"/>
    <n v="8"/>
    <n v="110"/>
    <n v="0"/>
    <n v="0"/>
  </r>
  <r>
    <x v="7"/>
    <s v="Produce"/>
    <s v="Spinach (bagged)"/>
    <s v="lb"/>
    <n v="2.56"/>
    <n v="2.6368"/>
    <n v="2"/>
    <n v="5.12"/>
    <n v="171"/>
    <n v="2"/>
    <n v="171"/>
    <n v="0"/>
    <n v="0"/>
  </r>
  <r>
    <x v="7"/>
    <s v="Produce"/>
    <s v="Bell Peppers (Green)"/>
    <s v="lb"/>
    <n v="0.75"/>
    <n v="0.77249999999999996"/>
    <n v="2.0300000000000002"/>
    <n v="1.5225000000000002"/>
    <n v="100"/>
    <n v="7"/>
    <n v="100"/>
    <n v="0"/>
    <n v="0"/>
  </r>
  <r>
    <x v="7"/>
    <s v="Produce"/>
    <s v="Cucumbers"/>
    <s v="each"/>
    <n v="0.4"/>
    <n v="0.41200000000000003"/>
    <n v="2.06"/>
    <n v="0.82400000000000007"/>
    <n v="196"/>
    <n v="2"/>
    <n v="196"/>
    <n v="0"/>
    <n v="0"/>
  </r>
  <r>
    <x v="7"/>
    <s v="Produce"/>
    <s v="Grapes (Red Seedless)"/>
    <s v="lb"/>
    <n v="1.4"/>
    <n v="1.4419999999999999"/>
    <n v="1.95"/>
    <n v="2.73"/>
    <n v="70"/>
    <n v="2"/>
    <n v="70"/>
    <n v="0"/>
    <n v="0"/>
  </r>
  <r>
    <x v="7"/>
    <s v="Produce"/>
    <s v="Strawberries (1 lb)"/>
    <s v="lb"/>
    <n v="2"/>
    <n v="2.06"/>
    <n v="2.06"/>
    <n v="4.12"/>
    <n v="54"/>
    <n v="1"/>
    <n v="54"/>
    <n v="0"/>
    <n v="0"/>
  </r>
  <r>
    <x v="7"/>
    <s v="Produce"/>
    <s v="Blueberries"/>
    <s v="lb"/>
    <n v="0.45"/>
    <n v="0.46350000000000002"/>
    <n v="2.09"/>
    <n v="0.9405"/>
    <n v="141"/>
    <n v="3"/>
    <n v="141"/>
    <n v="0"/>
    <n v="0"/>
  </r>
  <r>
    <x v="7"/>
    <s v="Produce"/>
    <s v="Pineapple"/>
    <s v="each"/>
    <n v="1.9"/>
    <n v="1.9569999999999999"/>
    <n v="1.95"/>
    <n v="3.7049999999999996"/>
    <n v="110"/>
    <n v="0"/>
    <n v="110"/>
    <n v="0"/>
    <n v="0"/>
  </r>
  <r>
    <x v="7"/>
    <s v="Produce"/>
    <s v="Watermelon (whole)"/>
    <s v="each"/>
    <n v="4"/>
    <n v="4.12"/>
    <n v="1.95"/>
    <n v="7.8"/>
    <n v="71"/>
    <n v="6"/>
    <n v="71"/>
    <n v="0"/>
    <n v="0"/>
  </r>
  <r>
    <x v="7"/>
    <s v="Meat"/>
    <s v="Ground Beef (80/20)"/>
    <s v="lb"/>
    <n v="2.85"/>
    <n v="2.9355000000000002"/>
    <n v="2.09"/>
    <n v="5.9565000000000001"/>
    <n v="40"/>
    <n v="5"/>
    <n v="40"/>
    <n v="0"/>
    <n v="0"/>
  </r>
  <r>
    <x v="7"/>
    <s v="Meat"/>
    <s v="Ground Turkey"/>
    <s v="lb"/>
    <n v="2.5"/>
    <n v="2.5750000000000002"/>
    <n v="2.0300000000000002"/>
    <n v="5.0750000000000011"/>
    <n v="89"/>
    <n v="1"/>
    <n v="89"/>
    <n v="0"/>
    <n v="0"/>
  </r>
  <r>
    <x v="7"/>
    <s v="Meat"/>
    <s v="Boneless Skinless Chicken Breast"/>
    <s v="lb"/>
    <n v="2.1"/>
    <n v="2.1630000000000003"/>
    <n v="2.1"/>
    <n v="4.41"/>
    <n v="20"/>
    <n v="8"/>
    <n v="20"/>
    <n v="0"/>
    <n v="0"/>
  </r>
  <r>
    <x v="7"/>
    <s v="Meat"/>
    <s v="Chicken Thighs (bone-in)"/>
    <s v="lb"/>
    <n v="1"/>
    <n v="1.03"/>
    <n v="2.1"/>
    <n v="2.1"/>
    <n v="24"/>
    <n v="5"/>
    <n v="24"/>
    <n v="0"/>
    <n v="0"/>
  </r>
  <r>
    <x v="7"/>
    <s v="Meat"/>
    <s v="Whole Chicken"/>
    <s v="lb"/>
    <n v="0.9"/>
    <n v="0.92700000000000005"/>
    <n v="2.06"/>
    <n v="1.8540000000000001"/>
    <n v="31"/>
    <n v="3"/>
    <n v="31"/>
    <n v="0"/>
    <n v="0"/>
  </r>
  <r>
    <x v="7"/>
    <s v="Meat"/>
    <s v="Pork Chops (bone-in)"/>
    <s v="lb"/>
    <n v="1.9"/>
    <n v="1.9569999999999999"/>
    <n v="2.06"/>
    <n v="3.9139999999999997"/>
    <n v="65"/>
    <n v="0"/>
    <n v="65"/>
    <n v="0"/>
    <n v="0"/>
  </r>
  <r>
    <x v="7"/>
    <s v="Meat"/>
    <s v="Pork Shoulder (Boston Butt)"/>
    <s v="lb"/>
    <n v="1.3"/>
    <n v="1.3390000000000002"/>
    <n v="1.98"/>
    <n v="2.5739999999999998"/>
    <n v="53"/>
    <n v="2"/>
    <n v="53"/>
    <n v="0"/>
    <n v="0"/>
  </r>
  <r>
    <x v="7"/>
    <s v="Meat"/>
    <s v="Bacon (Regular Cut)"/>
    <s v="lb"/>
    <n v="4"/>
    <n v="4.12"/>
    <n v="2.0099999999999998"/>
    <n v="8.0399999999999991"/>
    <n v="68"/>
    <n v="2"/>
    <n v="68"/>
    <n v="0"/>
    <n v="0"/>
  </r>
  <r>
    <x v="7"/>
    <s v="Meat"/>
    <s v="Breakfast Sausage (bulk)"/>
    <s v="lb"/>
    <n v="2.2000000000000002"/>
    <n v="2.2660000000000005"/>
    <n v="2.08"/>
    <n v="4.5760000000000005"/>
    <n v="97"/>
    <n v="0"/>
    <n v="97"/>
    <n v="0"/>
    <n v="0"/>
  </r>
  <r>
    <x v="7"/>
    <s v="Meat"/>
    <s v="Italian Sausage (links)"/>
    <s v="lb"/>
    <n v="2.75"/>
    <n v="2.8325"/>
    <n v="2.0300000000000002"/>
    <n v="5.5825000000000005"/>
    <n v="64"/>
    <n v="0"/>
    <n v="64"/>
    <n v="0"/>
    <n v="0"/>
  </r>
  <r>
    <x v="7"/>
    <s v="Meat"/>
    <s v="Beef Chuck Roast"/>
    <s v="lb"/>
    <n v="3.5"/>
    <n v="3.605"/>
    <n v="2.08"/>
    <n v="7.28"/>
    <n v="46"/>
    <n v="4"/>
    <n v="46"/>
    <n v="0"/>
    <n v="0"/>
  </r>
  <r>
    <x v="7"/>
    <s v="Meat"/>
    <s v="Beef Ribeye Steak (Boneless)"/>
    <s v="lb"/>
    <n v="8"/>
    <n v="8.24"/>
    <n v="2.08"/>
    <n v="16.64"/>
    <n v="92"/>
    <n v="0"/>
    <n v="92"/>
    <n v="0"/>
    <n v="0"/>
  </r>
  <r>
    <x v="7"/>
    <s v="Meat"/>
    <s v="New York Strip Steak"/>
    <s v="lb"/>
    <n v="7"/>
    <n v="7.21"/>
    <n v="2.0499999999999998"/>
    <n v="14.349999999999998"/>
    <n v="45"/>
    <n v="2"/>
    <n v="45"/>
    <n v="0"/>
    <n v="0"/>
  </r>
  <r>
    <x v="7"/>
    <s v="Meat"/>
    <s v="Chicken Wings"/>
    <s v="lb"/>
    <n v="1.8"/>
    <n v="1.8540000000000001"/>
    <n v="2.0300000000000002"/>
    <n v="3.6540000000000004"/>
    <n v="66"/>
    <n v="7"/>
    <n v="66"/>
    <n v="0"/>
    <n v="0"/>
  </r>
  <r>
    <x v="7"/>
    <s v="Meat"/>
    <s v="Lamb Chops"/>
    <s v="lb"/>
    <n v="9"/>
    <n v="9.27"/>
    <n v="2.06"/>
    <n v="18.54"/>
    <n v="75"/>
    <n v="6"/>
    <n v="75"/>
    <n v="0"/>
    <n v="0"/>
  </r>
  <r>
    <x v="7"/>
    <s v="Meat"/>
    <s v="Turkey (whole, frozen)"/>
    <s v="lb"/>
    <n v="0.95"/>
    <n v="0.97849999999999993"/>
    <n v="2.04"/>
    <n v="1.9379999999999999"/>
    <n v="82"/>
    <n v="1"/>
    <n v="82"/>
    <n v="0"/>
    <n v="0"/>
  </r>
  <r>
    <x v="7"/>
    <s v="Meat"/>
    <s v="Ham (bone-in, smoked)"/>
    <s v="lb"/>
    <n v="1.85"/>
    <n v="1.9055000000000002"/>
    <n v="2.06"/>
    <n v="3.8110000000000004"/>
    <n v="67"/>
    <n v="6"/>
    <n v="67"/>
    <n v="0"/>
    <n v="0"/>
  </r>
  <r>
    <x v="7"/>
    <s v="Meat"/>
    <s v="Deli Turkey Breast (sliced)"/>
    <s v="lb"/>
    <n v="5.5"/>
    <n v="5.665"/>
    <n v="1.95"/>
    <n v="10.725"/>
    <n v="80"/>
    <n v="0"/>
    <n v="80"/>
    <n v="0"/>
    <n v="0"/>
  </r>
  <r>
    <x v="7"/>
    <s v="Meat"/>
    <s v="Hot Dogs (beef, standard pack)"/>
    <s v="lb"/>
    <n v="1.9"/>
    <n v="1.9569999999999999"/>
    <n v="1.98"/>
    <n v="3.762"/>
    <n v="45"/>
    <n v="0"/>
    <n v="45"/>
    <n v="0"/>
    <n v="0"/>
  </r>
  <r>
    <x v="7"/>
    <s v="Meat"/>
    <s v="Meatballs (pre-cooked)"/>
    <s v="lb"/>
    <n v="2.75"/>
    <n v="2.8325"/>
    <n v="2.04"/>
    <n v="5.61"/>
    <n v="55"/>
    <n v="3"/>
    <n v="55"/>
    <n v="0"/>
    <n v="0"/>
  </r>
  <r>
    <x v="7"/>
    <s v="Frozen"/>
    <s v="Frozen Pizza (12”)"/>
    <s v="each"/>
    <n v="3.25"/>
    <n v="3.3475000000000001"/>
    <n v="1.96"/>
    <n v="6.37"/>
    <n v="50"/>
    <n v="1"/>
    <n v="50"/>
    <n v="0"/>
    <n v="0"/>
  </r>
  <r>
    <x v="7"/>
    <s v="Frozen"/>
    <s v="Frozen Mixed Vegetables (16 oz)"/>
    <s v="each"/>
    <n v="0.9"/>
    <n v="0.92700000000000005"/>
    <n v="1.98"/>
    <n v="1.782"/>
    <n v="57"/>
    <n v="1"/>
    <n v="57"/>
    <n v="0"/>
    <n v="0"/>
  </r>
  <r>
    <x v="7"/>
    <s v="Frozen"/>
    <s v="Frozen French Fries (32 oz)"/>
    <s v="each"/>
    <n v="1.6"/>
    <n v="1.6480000000000001"/>
    <n v="1.99"/>
    <n v="3.1840000000000002"/>
    <n v="148"/>
    <n v="2"/>
    <n v="148"/>
    <n v="0"/>
    <n v="0"/>
  </r>
  <r>
    <x v="7"/>
    <s v="Frozen"/>
    <s v="Frozen Broccoli Florets (16 oz)"/>
    <s v="each"/>
    <n v="1.1000000000000001"/>
    <n v="1.1330000000000002"/>
    <n v="2"/>
    <n v="2.2000000000000002"/>
    <n v="101"/>
    <n v="0"/>
    <n v="101"/>
    <n v="0"/>
    <n v="0"/>
  </r>
  <r>
    <x v="7"/>
    <s v="Frozen"/>
    <s v="Frozen Corn (16 oz)"/>
    <s v="each"/>
    <n v="0.95"/>
    <n v="0.97849999999999993"/>
    <n v="2"/>
    <n v="1.9"/>
    <n v="128"/>
    <n v="0"/>
    <n v="128"/>
    <n v="0"/>
    <n v="0"/>
  </r>
  <r>
    <x v="7"/>
    <s v="Frozen"/>
    <s v="Ice Cream (1.5 qt)"/>
    <s v="each"/>
    <n v="2.75"/>
    <n v="2.8325"/>
    <n v="1.98"/>
    <n v="5.4450000000000003"/>
    <n v="96"/>
    <n v="2"/>
    <n v="96"/>
    <n v="0"/>
    <n v="0"/>
  </r>
  <r>
    <x v="7"/>
    <s v="Frozen"/>
    <s v="Ice Cream Sandwiches (box of 6)"/>
    <s v="each"/>
    <n v="1.9"/>
    <n v="1.9569999999999999"/>
    <n v="2.0700000000000003"/>
    <n v="3.9330000000000003"/>
    <n v="105"/>
    <n v="4"/>
    <n v="105"/>
    <n v="0"/>
    <n v="0"/>
  </r>
  <r>
    <x v="7"/>
    <s v="Frozen"/>
    <s v="Frozen Chicken Nuggets (32 oz)"/>
    <s v="each"/>
    <n v="4"/>
    <n v="4.12"/>
    <n v="2.0700000000000003"/>
    <n v="8.2800000000000011"/>
    <n v="135"/>
    <n v="3"/>
    <n v="135"/>
    <n v="0"/>
    <n v="0"/>
  </r>
  <r>
    <x v="7"/>
    <s v="Frozen"/>
    <s v="Frozen Burritos (individual)"/>
    <s v="each"/>
    <n v="0.8"/>
    <n v="0.82400000000000007"/>
    <n v="2.0099999999999998"/>
    <n v="1.6079999999999999"/>
    <n v="63"/>
    <n v="1"/>
    <n v="63"/>
    <n v="0"/>
    <n v="0"/>
  </r>
  <r>
    <x v="7"/>
    <s v="Frozen"/>
    <s v="Frozen Meatballs (26 oz bag)"/>
    <s v="each"/>
    <n v="4.25"/>
    <n v="4.3775000000000004"/>
    <n v="1.99"/>
    <n v="8.4574999999999996"/>
    <n v="139"/>
    <n v="1"/>
    <n v="139"/>
    <n v="0"/>
    <n v="0"/>
  </r>
  <r>
    <x v="7"/>
    <s v="Frozen"/>
    <s v="Frozen Waffles (box of 10)"/>
    <s v="each"/>
    <n v="1.6"/>
    <n v="1.6480000000000001"/>
    <n v="2.09"/>
    <n v="3.3439999999999999"/>
    <n v="77"/>
    <n v="0"/>
    <n v="77"/>
    <n v="0"/>
    <n v="0"/>
  </r>
  <r>
    <x v="7"/>
    <s v="Frozen"/>
    <s v="Frozen Pancakes (box of 12)"/>
    <s v="each"/>
    <n v="1.65"/>
    <n v="1.6995"/>
    <n v="1.99"/>
    <n v="3.2834999999999996"/>
    <n v="136"/>
    <n v="0"/>
    <n v="136"/>
    <n v="0"/>
    <n v="0"/>
  </r>
  <r>
    <x v="7"/>
    <s v="Frozen"/>
    <s v="TV Dinner / Meal (10–12 oz)"/>
    <s v="each"/>
    <n v="2.2000000000000002"/>
    <n v="2.2660000000000005"/>
    <n v="1.95"/>
    <n v="4.29"/>
    <n v="127"/>
    <n v="5"/>
    <n v="127"/>
    <n v="0"/>
    <n v="0"/>
  </r>
  <r>
    <x v="7"/>
    <s v="Frozen"/>
    <s v="Frozen Fish Fillets (breaded, 24 oz)"/>
    <s v="each"/>
    <n v="4"/>
    <n v="4.12"/>
    <n v="2.1"/>
    <n v="8.4"/>
    <n v="137"/>
    <n v="1"/>
    <n v="137"/>
    <n v="0"/>
    <n v="0"/>
  </r>
  <r>
    <x v="7"/>
    <s v="Frozen"/>
    <s v="Frozen Shrimp (raw, peeled, 1 lb)"/>
    <s v="each"/>
    <n v="5.25"/>
    <n v="5.4074999999999998"/>
    <n v="2"/>
    <n v="10.5"/>
    <n v="51"/>
    <n v="0"/>
    <n v="51"/>
    <n v="0"/>
    <n v="0"/>
  </r>
  <r>
    <x v="7"/>
    <s v="Frozen"/>
    <s v="Frozen Fruit (Strawberries, 16 oz)"/>
    <s v="each"/>
    <n v="2"/>
    <n v="2.06"/>
    <n v="2.04"/>
    <n v="4.08"/>
    <n v="158"/>
    <n v="3"/>
    <n v="158"/>
    <n v="0"/>
    <n v="0"/>
  </r>
  <r>
    <x v="7"/>
    <s v="Frozen"/>
    <s v="Frozen Pie (apple, 8”)"/>
    <s v="each"/>
    <n v="2.8"/>
    <n v="2.8839999999999999"/>
    <n v="2.0300000000000002"/>
    <n v="5.6840000000000002"/>
    <n v="75"/>
    <n v="3"/>
    <n v="75"/>
    <n v="0"/>
    <n v="0"/>
  </r>
  <r>
    <x v="7"/>
    <s v="Frozen"/>
    <s v="Frozen Garlic Bread (16 oz)"/>
    <s v="each"/>
    <n v="1.35"/>
    <n v="1.3905000000000001"/>
    <n v="2.0300000000000002"/>
    <n v="2.7405000000000004"/>
    <n v="63"/>
    <n v="3"/>
    <n v="63"/>
    <n v="0"/>
    <n v="0"/>
  </r>
  <r>
    <x v="7"/>
    <s v="Frozen"/>
    <s v="Frozen Breakfast Sandwich (2-pack)"/>
    <s v="each"/>
    <n v="2.25"/>
    <n v="2.3174999999999999"/>
    <n v="2.09"/>
    <n v="4.7024999999999997"/>
    <n v="108"/>
    <n v="0"/>
    <n v="108"/>
    <n v="0"/>
    <n v="0"/>
  </r>
  <r>
    <x v="7"/>
    <s v="Frozen"/>
    <s v="Frozen Veggie Burgers (4-pack)"/>
    <s v="each"/>
    <n v="2.8"/>
    <n v="2.8839999999999999"/>
    <n v="2.09"/>
    <n v="5.8519999999999994"/>
    <n v="105"/>
    <n v="0"/>
    <n v="105"/>
    <n v="0"/>
    <n v="0"/>
  </r>
  <r>
    <x v="7"/>
    <s v="Deli"/>
    <s v="Sliced Turkey Breast"/>
    <s v="lb"/>
    <n v="5.25"/>
    <n v="5.4074999999999998"/>
    <n v="2.08"/>
    <n v="10.92"/>
    <n v="36"/>
    <n v="0"/>
    <n v="36"/>
    <n v="0"/>
    <n v="0"/>
  </r>
  <r>
    <x v="7"/>
    <s v="Deli"/>
    <s v="Sliced Ham (Honey or Black Forest)"/>
    <s v="lb"/>
    <n v="4.75"/>
    <n v="4.8925000000000001"/>
    <n v="2"/>
    <n v="9.5"/>
    <n v="32"/>
    <n v="0"/>
    <n v="32"/>
    <n v="0"/>
    <n v="0"/>
  </r>
  <r>
    <x v="7"/>
    <s v="Deli"/>
    <s v="Roast Beef (sliced)"/>
    <s v="lb"/>
    <n v="6.5"/>
    <n v="6.6950000000000003"/>
    <n v="1.96"/>
    <n v="12.74"/>
    <n v="52"/>
    <n v="3"/>
    <n v="52"/>
    <n v="0"/>
    <n v="0"/>
  </r>
  <r>
    <x v="7"/>
    <s v="Deli"/>
    <s v="Genoa Salami"/>
    <s v="lb"/>
    <n v="5.75"/>
    <n v="5.9225000000000003"/>
    <n v="1.99"/>
    <n v="11.442500000000001"/>
    <n v="47"/>
    <n v="5"/>
    <n v="47"/>
    <n v="0"/>
    <n v="0"/>
  </r>
  <r>
    <x v="7"/>
    <s v="Deli"/>
    <s v="Hard Salami"/>
    <s v="lb"/>
    <n v="5.5"/>
    <n v="5.665"/>
    <n v="2.0499999999999998"/>
    <n v="11.274999999999999"/>
    <n v="67"/>
    <n v="4"/>
    <n v="67"/>
    <n v="0"/>
    <n v="0"/>
  </r>
  <r>
    <x v="7"/>
    <s v="Deli"/>
    <s v="Pepperoni (sliced)"/>
    <s v="lb"/>
    <n v="4.25"/>
    <n v="4.3775000000000004"/>
    <n v="1.96"/>
    <n v="8.33"/>
    <n v="44"/>
    <n v="5"/>
    <n v="44"/>
    <n v="0"/>
    <n v="0"/>
  </r>
  <r>
    <x v="7"/>
    <s v="Deli"/>
    <s v="Chicken Breast (sliced)"/>
    <s v="lb"/>
    <n v="5.0999999999999996"/>
    <n v="5.2530000000000001"/>
    <n v="2.0300000000000002"/>
    <n v="10.353"/>
    <n v="93"/>
    <n v="1"/>
    <n v="93"/>
    <n v="0"/>
    <n v="0"/>
  </r>
  <r>
    <x v="7"/>
    <s v="Deli"/>
    <s v="Bologna"/>
    <s v="lb"/>
    <n v="2.8"/>
    <n v="2.8839999999999999"/>
    <n v="2.1"/>
    <n v="5.88"/>
    <n v="118"/>
    <n v="3"/>
    <n v="118"/>
    <n v="0"/>
    <n v="0"/>
  </r>
  <r>
    <x v="7"/>
    <s v="Deli"/>
    <s v="Mortadella"/>
    <s v="lb"/>
    <n v="4"/>
    <n v="4.12"/>
    <n v="2"/>
    <n v="8"/>
    <n v="57"/>
    <n v="1"/>
    <n v="57"/>
    <n v="0"/>
    <n v="0"/>
  </r>
  <r>
    <x v="7"/>
    <s v="Deli"/>
    <s v="Prosciutto"/>
    <s v="lb"/>
    <n v="9"/>
    <n v="9.27"/>
    <n v="2.1"/>
    <n v="18.900000000000002"/>
    <n v="103"/>
    <n v="2"/>
    <n v="103"/>
    <n v="0"/>
    <n v="0"/>
  </r>
  <r>
    <x v="7"/>
    <s v="Deli"/>
    <s v="American Cheese (processed)"/>
    <s v="lb"/>
    <n v="2.75"/>
    <n v="2.8325"/>
    <n v="1.95"/>
    <n v="5.3624999999999998"/>
    <n v="68"/>
    <n v="2"/>
    <n v="68"/>
    <n v="0"/>
    <n v="0"/>
  </r>
  <r>
    <x v="7"/>
    <s v="Deli"/>
    <s v="Cheddar Cheese (sharp)"/>
    <s v="lb"/>
    <n v="3.9"/>
    <n v="4.0170000000000003"/>
    <n v="1.95"/>
    <n v="7.6049999999999995"/>
    <n v="86"/>
    <n v="0"/>
    <n v="86"/>
    <n v="0"/>
    <n v="0"/>
  </r>
  <r>
    <x v="7"/>
    <s v="Deli"/>
    <s v="Swiss Cheese"/>
    <s v="lb"/>
    <n v="4.3"/>
    <n v="4.4290000000000003"/>
    <n v="2.09"/>
    <n v="8.9869999999999983"/>
    <n v="46"/>
    <n v="1"/>
    <n v="46"/>
    <n v="0"/>
    <n v="0"/>
  </r>
  <r>
    <x v="7"/>
    <s v="Deli"/>
    <s v="Provolone Cheese"/>
    <s v="lb"/>
    <n v="4"/>
    <n v="4.12"/>
    <n v="1.98"/>
    <n v="7.92"/>
    <n v="115"/>
    <n v="8"/>
    <n v="115"/>
    <n v="0"/>
    <n v="0"/>
  </r>
  <r>
    <x v="7"/>
    <s v="Deli"/>
    <s v="Mozzarella (fresh, sliced)"/>
    <s v="lb"/>
    <n v="4.75"/>
    <n v="4.8925000000000001"/>
    <n v="2.0099999999999998"/>
    <n v="9.5474999999999994"/>
    <n v="119"/>
    <n v="0"/>
    <n v="119"/>
    <n v="0"/>
    <n v="0"/>
  </r>
  <r>
    <x v="7"/>
    <s v="Deli"/>
    <s v="Coleslaw (prepared)"/>
    <s v="lb"/>
    <n v="2.25"/>
    <n v="2.3174999999999999"/>
    <n v="2"/>
    <n v="4.5"/>
    <n v="73"/>
    <n v="0"/>
    <n v="73"/>
    <n v="0"/>
    <n v="0"/>
  </r>
  <r>
    <x v="7"/>
    <s v="Deli"/>
    <s v="Potato Salad (prepared)"/>
    <s v="lb"/>
    <n v="2.1"/>
    <n v="2.1630000000000003"/>
    <n v="1.96"/>
    <n v="4.1159999999999997"/>
    <n v="54"/>
    <n v="1"/>
    <n v="54"/>
    <n v="0"/>
    <n v="0"/>
  </r>
  <r>
    <x v="7"/>
    <s v="Deli"/>
    <s v="Macaroni Salad"/>
    <s v="lb"/>
    <n v="2"/>
    <n v="2.06"/>
    <n v="2.02"/>
    <n v="4.04"/>
    <n v="46"/>
    <n v="5"/>
    <n v="46"/>
    <n v="0"/>
    <n v="0"/>
  </r>
  <r>
    <x v="7"/>
    <s v="Deli"/>
    <s v="Rotisserie Chicken (whole)"/>
    <s v="each"/>
    <n v="4.5"/>
    <n v="4.6349999999999998"/>
    <n v="2.1"/>
    <n v="9.4500000000000011"/>
    <n v="42"/>
    <n v="2"/>
    <n v="42"/>
    <n v="0"/>
    <n v="0"/>
  </r>
  <r>
    <x v="7"/>
    <s v="Deli"/>
    <s v="Deli Sandwich (made to order)"/>
    <s v="each"/>
    <n v="3.75"/>
    <n v="3.8625000000000003"/>
    <n v="2.02"/>
    <n v="7.5750000000000002"/>
    <n v="113"/>
    <n v="3"/>
    <n v="113"/>
    <n v="0"/>
    <n v="0"/>
  </r>
  <r>
    <x v="7"/>
    <s v="Dairy"/>
    <s v="Whole Milk (1 gallon)"/>
    <s v="each"/>
    <n v="2"/>
    <n v="2.06"/>
    <n v="2.1"/>
    <n v="4.2"/>
    <n v="84"/>
    <n v="0"/>
    <n v="24"/>
    <n v="0.7142857142857143"/>
    <n v="60"/>
  </r>
  <r>
    <x v="7"/>
    <s v="Dairy"/>
    <s v="2% Milk (1 gallon)"/>
    <s v="each"/>
    <n v="1.95"/>
    <n v="2.0085000000000002"/>
    <n v="2.0700000000000003"/>
    <n v="4.0365000000000002"/>
    <n v="127"/>
    <n v="3"/>
    <n v="99"/>
    <n v="0.22047244094488189"/>
    <n v="28"/>
  </r>
  <r>
    <x v="7"/>
    <s v="Dairy"/>
    <s v="Skim Milk (1 gallon)"/>
    <s v="each"/>
    <n v="1.9"/>
    <n v="1.9569999999999999"/>
    <n v="2.0300000000000002"/>
    <n v="3.8570000000000002"/>
    <n v="69"/>
    <n v="1"/>
    <n v="59"/>
    <n v="0.14492753623188406"/>
    <n v="10"/>
  </r>
  <r>
    <x v="7"/>
    <s v="Dairy"/>
    <s v="Organic Milk (1/2 gallon)"/>
    <s v="each"/>
    <n v="3.1"/>
    <n v="3.1930000000000001"/>
    <n v="1.95"/>
    <n v="6.0449999999999999"/>
    <n v="126"/>
    <n v="5"/>
    <n v="89"/>
    <n v="0.29365079365079366"/>
    <n v="37"/>
  </r>
  <r>
    <x v="7"/>
    <s v="Dairy"/>
    <s v="Heavy Whipping Cream (pint)"/>
    <s v="each"/>
    <n v="2"/>
    <n v="2.06"/>
    <n v="2.02"/>
    <n v="4.04"/>
    <n v="164"/>
    <n v="3"/>
    <n v="64"/>
    <n v="0.6097560975609756"/>
    <n v="100"/>
  </r>
  <r>
    <x v="7"/>
    <s v="Dairy"/>
    <s v="Half &amp; Half (quart)"/>
    <s v="each"/>
    <n v="1.7"/>
    <n v="1.7509999999999999"/>
    <n v="2.04"/>
    <n v="3.468"/>
    <n v="168"/>
    <n v="0"/>
    <n v="83"/>
    <n v="0.50595238095238093"/>
    <n v="85"/>
  </r>
  <r>
    <x v="7"/>
    <s v="Dairy"/>
    <s v="Buttermilk (quart)"/>
    <s v="each"/>
    <n v="1.5"/>
    <n v="1.5449999999999999"/>
    <n v="2.09"/>
    <n v="3.1349999999999998"/>
    <n v="77"/>
    <n v="0"/>
    <n v="27"/>
    <n v="0.64935064935064934"/>
    <n v="50"/>
  </r>
  <r>
    <x v="7"/>
    <s v="Dairy"/>
    <s v="Butter (salted, 1 lb)"/>
    <s v="each"/>
    <n v="2.65"/>
    <n v="2.7294999999999998"/>
    <n v="2"/>
    <n v="5.3"/>
    <n v="170"/>
    <n v="0"/>
    <n v="15"/>
    <n v="0.91176470588235292"/>
    <n v="155"/>
  </r>
  <r>
    <x v="7"/>
    <s v="Dairy"/>
    <s v="Margarine (1 lb)"/>
    <s v="each"/>
    <n v="1.2"/>
    <n v="1.236"/>
    <n v="2.06"/>
    <n v="2.472"/>
    <n v="159"/>
    <n v="1"/>
    <n v="103"/>
    <n v="0.3522012578616352"/>
    <n v="56"/>
  </r>
  <r>
    <x v="7"/>
    <s v="Dairy"/>
    <s v="Sour Cream (16 oz)"/>
    <s v="each"/>
    <n v="1.4"/>
    <n v="1.4419999999999999"/>
    <n v="2.04"/>
    <n v="2.8559999999999999"/>
    <n v="170"/>
    <n v="1"/>
    <n v="91"/>
    <n v="0.46470588235294119"/>
    <n v="79"/>
  </r>
  <r>
    <x v="7"/>
    <s v="Dairy"/>
    <s v="Cottage Cheese (16 oz)"/>
    <s v="each"/>
    <n v="1.6"/>
    <n v="1.6480000000000001"/>
    <n v="1.97"/>
    <n v="3.1520000000000001"/>
    <n v="145"/>
    <n v="3"/>
    <n v="26"/>
    <n v="0.82068965517241377"/>
    <n v="119"/>
  </r>
  <r>
    <x v="7"/>
    <s v="Dairy"/>
    <s v="Greek Yogurt (single 5.3 oz cup)"/>
    <s v="each"/>
    <n v="0.7"/>
    <n v="0.72099999999999997"/>
    <n v="2.08"/>
    <n v="1.456"/>
    <n v="93"/>
    <n v="2"/>
    <n v="52"/>
    <n v="0.44086021505376344"/>
    <n v="41"/>
  </r>
  <r>
    <x v="7"/>
    <s v="Dairy"/>
    <s v="Yogurt (regular, 6 oz)"/>
    <s v="each"/>
    <n v="0.55000000000000004"/>
    <n v="0.56650000000000011"/>
    <n v="2.0300000000000002"/>
    <n v="1.1165000000000003"/>
    <n v="170"/>
    <n v="1"/>
    <n v="169"/>
    <n v="5.8823529411764705E-3"/>
    <n v="1"/>
  </r>
  <r>
    <x v="7"/>
    <s v="Dairy"/>
    <s v="Cream Cheese (8 oz block)"/>
    <s v="each"/>
    <n v="1.4"/>
    <n v="1.4419999999999999"/>
    <n v="1.96"/>
    <n v="2.7439999999999998"/>
    <n v="67"/>
    <n v="0"/>
    <n v="58"/>
    <n v="0.13432835820895522"/>
    <n v="9"/>
  </r>
  <r>
    <x v="7"/>
    <s v="Dairy"/>
    <s v="Shredded Cheese (8 oz bag)"/>
    <s v="each"/>
    <n v="2"/>
    <n v="2.06"/>
    <n v="2.0099999999999998"/>
    <n v="4.0199999999999996"/>
    <n v="99"/>
    <n v="0"/>
    <n v="46"/>
    <n v="0.53535353535353536"/>
    <n v="53"/>
  </r>
  <r>
    <x v="7"/>
    <s v="Dairy"/>
    <s v="Sliced Cheese (8 oz)"/>
    <s v="each"/>
    <n v="2.25"/>
    <n v="2.3174999999999999"/>
    <n v="2.1"/>
    <n v="4.7250000000000005"/>
    <n v="172"/>
    <n v="6"/>
    <n v="161"/>
    <n v="6.3953488372093026E-2"/>
    <n v="11"/>
  </r>
  <r>
    <x v="7"/>
    <s v="Dairy"/>
    <s v="Cheddar Cheese Block (1 lb)"/>
    <s v="each"/>
    <n v="3.4"/>
    <n v="3.5019999999999998"/>
    <n v="2.0700000000000003"/>
    <n v="7.0380000000000011"/>
    <n v="167"/>
    <n v="0"/>
    <n v="164"/>
    <n v="1.7964071856287425E-2"/>
    <n v="3"/>
  </r>
  <r>
    <x v="7"/>
    <s v="Dairy"/>
    <s v="Mozzarella (low moisture, 1 lb)"/>
    <s v="each"/>
    <n v="3.1"/>
    <n v="3.1930000000000001"/>
    <n v="2.09"/>
    <n v="6.4790000000000001"/>
    <n v="142"/>
    <n v="3"/>
    <n v="133"/>
    <n v="6.3380281690140844E-2"/>
    <n v="9"/>
  </r>
  <r>
    <x v="7"/>
    <s v="Dairy"/>
    <s v="Eggs (dozen, large, Grade A)"/>
    <s v="each"/>
    <n v="1.5"/>
    <n v="1.5449999999999999"/>
    <n v="2.0099999999999998"/>
    <n v="3.0149999999999997"/>
    <n v="101"/>
    <n v="5"/>
    <n v="6"/>
    <n v="0.94059405940594054"/>
    <n v="95"/>
  </r>
  <r>
    <x v="7"/>
    <s v="Dairy"/>
    <s v="Egg Substitute (16 oz carton)"/>
    <s v="each"/>
    <n v="1.9"/>
    <n v="1.9569999999999999"/>
    <n v="2.09"/>
    <n v="3.9709999999999996"/>
    <n v="100"/>
    <n v="3"/>
    <n v="95"/>
    <n v="0.05"/>
    <n v="5"/>
  </r>
  <r>
    <x v="7"/>
    <s v="Bakery"/>
    <s v="White Sandwich Bread (loaf)"/>
    <s v="each"/>
    <n v="1.3"/>
    <n v="1.3390000000000002"/>
    <n v="2.02"/>
    <n v="2.6260000000000003"/>
    <n v="140"/>
    <n v="6"/>
    <n v="32"/>
    <n v="0.77142857142857146"/>
    <n v="108"/>
  </r>
  <r>
    <x v="7"/>
    <s v="Bakery"/>
    <s v="Whole Wheat Bread (loaf)"/>
    <s v="each"/>
    <n v="1.6"/>
    <n v="1.6480000000000001"/>
    <n v="2.0099999999999998"/>
    <n v="3.2159999999999997"/>
    <n v="45"/>
    <n v="1"/>
    <n v="6"/>
    <n v="0.8666666666666667"/>
    <n v="39"/>
  </r>
  <r>
    <x v="7"/>
    <s v="Bakery"/>
    <s v="French Baguette"/>
    <s v="each"/>
    <n v="1.35"/>
    <n v="1.3905000000000001"/>
    <n v="2.04"/>
    <n v="2.7540000000000004"/>
    <n v="91"/>
    <n v="8"/>
    <n v="56"/>
    <n v="0.38461538461538464"/>
    <n v="35"/>
  </r>
  <r>
    <x v="7"/>
    <s v="Bakery"/>
    <s v="Italian Bread (loaf)"/>
    <s v="each"/>
    <n v="1.6"/>
    <n v="1.6480000000000001"/>
    <n v="1.96"/>
    <n v="3.1360000000000001"/>
    <n v="65"/>
    <n v="0"/>
    <n v="11"/>
    <n v="0.83076923076923082"/>
    <n v="54"/>
  </r>
  <r>
    <x v="7"/>
    <s v="Bakery"/>
    <s v="Dinner Rolls (12-pack)"/>
    <s v="each"/>
    <n v="2.1"/>
    <n v="2.1630000000000003"/>
    <n v="2.0300000000000002"/>
    <n v="4.2630000000000008"/>
    <n v="103"/>
    <n v="0"/>
    <n v="15"/>
    <n v="0.85436893203883491"/>
    <n v="88"/>
  </r>
  <r>
    <x v="7"/>
    <s v="Bakery"/>
    <s v="Kaiser Rolls (6-pack)"/>
    <s v="each"/>
    <n v="1.85"/>
    <n v="1.9055000000000002"/>
    <n v="2.1"/>
    <n v="3.8850000000000002"/>
    <n v="137"/>
    <n v="3"/>
    <n v="42"/>
    <n v="0.69343065693430661"/>
    <n v="95"/>
  </r>
  <r>
    <x v="7"/>
    <s v="Bakery"/>
    <s v="Hamburger Buns (8-pack)"/>
    <s v="each"/>
    <n v="1.55"/>
    <n v="1.5965"/>
    <n v="1.95"/>
    <n v="3.0225"/>
    <n v="98"/>
    <n v="8"/>
    <n v="76"/>
    <n v="0.22448979591836735"/>
    <n v="22"/>
  </r>
  <r>
    <x v="7"/>
    <s v="Bakery"/>
    <s v="Hot Dog Buns (8-pack)"/>
    <s v="each"/>
    <n v="1.55"/>
    <n v="1.5965"/>
    <n v="2.0300000000000002"/>
    <n v="3.1465000000000005"/>
    <n v="95"/>
    <n v="5"/>
    <n v="6"/>
    <n v="0.93684210526315792"/>
    <n v="89"/>
  </r>
  <r>
    <x v="7"/>
    <s v="Bakery"/>
    <s v="English Muffins (6-pack)"/>
    <s v="each"/>
    <n v="1.75"/>
    <n v="1.8025"/>
    <n v="1.99"/>
    <n v="3.4824999999999999"/>
    <n v="98"/>
    <n v="0"/>
    <n v="50"/>
    <n v="0.48979591836734693"/>
    <n v="48"/>
  </r>
  <r>
    <x v="7"/>
    <s v="Bakery"/>
    <s v="Bagels (6-pack)"/>
    <s v="each"/>
    <n v="2.2000000000000002"/>
    <n v="2.2660000000000005"/>
    <n v="2.04"/>
    <n v="4.4880000000000004"/>
    <n v="148"/>
    <n v="1"/>
    <n v="74"/>
    <n v="0.5"/>
    <n v="74"/>
  </r>
  <r>
    <x v="7"/>
    <s v="Bakery"/>
    <s v="Croissants (4-pack)"/>
    <s v="each"/>
    <n v="2.75"/>
    <n v="2.8325"/>
    <n v="2.04"/>
    <n v="5.61"/>
    <n v="109"/>
    <n v="7"/>
    <n v="7"/>
    <n v="0.93577981651376152"/>
    <n v="102"/>
  </r>
  <r>
    <x v="7"/>
    <s v="Bakery"/>
    <s v="Muffins (4-pack, assorted)"/>
    <s v="each"/>
    <n v="2.4"/>
    <n v="2.472"/>
    <n v="1.97"/>
    <n v="4.7279999999999998"/>
    <n v="140"/>
    <n v="1"/>
    <n v="44"/>
    <n v="0.68571428571428572"/>
    <n v="96"/>
  </r>
  <r>
    <x v="7"/>
    <s v="Bakery"/>
    <s v="Donuts (6-pack, glazed)"/>
    <s v="each"/>
    <n v="2.7"/>
    <n v="2.7810000000000001"/>
    <n v="2.0099999999999998"/>
    <n v="5.4269999999999996"/>
    <n v="72"/>
    <n v="5"/>
    <n v="58"/>
    <n v="0.19444444444444445"/>
    <n v="14"/>
  </r>
  <r>
    <x v="7"/>
    <s v="Bakery"/>
    <s v="Danish Pastries (4-pack)"/>
    <s v="each"/>
    <n v="2.6"/>
    <n v="2.6780000000000004"/>
    <n v="2.09"/>
    <n v="5.4340000000000002"/>
    <n v="92"/>
    <n v="5"/>
    <n v="3"/>
    <n v="0.96739130434782605"/>
    <n v="89"/>
  </r>
  <r>
    <x v="7"/>
    <s v="Bakery"/>
    <s v="Apple Pie (9”)"/>
    <s v="each"/>
    <n v="4"/>
    <n v="4.12"/>
    <n v="2.06"/>
    <n v="8.24"/>
    <n v="61"/>
    <n v="2"/>
    <n v="39"/>
    <n v="0.36065573770491804"/>
    <n v="22"/>
  </r>
  <r>
    <x v="7"/>
    <s v="Bakery"/>
    <s v="Pumpkin Pie (9”)"/>
    <s v="each"/>
    <n v="4.25"/>
    <n v="4.3775000000000004"/>
    <n v="2.06"/>
    <n v="8.7550000000000008"/>
    <n v="60"/>
    <n v="1"/>
    <n v="2"/>
    <n v="0.96666666666666667"/>
    <n v="58"/>
  </r>
  <r>
    <x v="7"/>
    <s v="Bakery"/>
    <s v="Chocolate Cake (single layer)"/>
    <s v="each"/>
    <n v="5"/>
    <n v="5.15"/>
    <n v="2"/>
    <n v="10"/>
    <n v="109"/>
    <n v="2"/>
    <n v="28"/>
    <n v="0.74311926605504586"/>
    <n v="81"/>
  </r>
  <r>
    <x v="7"/>
    <s v="Bakery"/>
    <s v="Cupcakes (6-pack)"/>
    <s v="each"/>
    <n v="3"/>
    <n v="3.09"/>
    <n v="2.0499999999999998"/>
    <n v="6.1499999999999995"/>
    <n v="109"/>
    <n v="0"/>
    <n v="104"/>
    <n v="4.5871559633027525E-2"/>
    <n v="5"/>
  </r>
  <r>
    <x v="7"/>
    <s v="Bakery"/>
    <s v="Brownies (6-pack)"/>
    <s v="each"/>
    <n v="2.4"/>
    <n v="2.472"/>
    <n v="2"/>
    <n v="4.8"/>
    <n v="43"/>
    <n v="6"/>
    <n v="28"/>
    <n v="0.34883720930232559"/>
    <n v="15"/>
  </r>
  <r>
    <x v="7"/>
    <s v="Bakery"/>
    <s v="Coffee Cake (whole)"/>
    <s v="each"/>
    <n v="3.25"/>
    <n v="3.3475000000000001"/>
    <n v="2.0700000000000003"/>
    <n v="6.7275000000000009"/>
    <n v="133"/>
    <n v="2"/>
    <n v="97"/>
    <n v="0.27067669172932329"/>
    <n v="36"/>
  </r>
  <r>
    <x v="8"/>
    <s v="Produce"/>
    <s v="Bananas"/>
    <s v="lb"/>
    <n v="0.35"/>
    <n v="0.36399999999999999"/>
    <n v="1.96"/>
    <n v="0.68599999999999994"/>
    <n v="124"/>
    <n v="6"/>
    <n v="97"/>
    <n v="0.21774193548387097"/>
    <n v="27"/>
  </r>
  <r>
    <x v="8"/>
    <s v="Produce"/>
    <s v="Apples (Gala)"/>
    <s v="lb"/>
    <n v="0.85"/>
    <n v="0.88400000000000001"/>
    <n v="2.04"/>
    <n v="1.734"/>
    <n v="111"/>
    <n v="0"/>
    <n v="27"/>
    <n v="0.7567567567567568"/>
    <n v="84"/>
  </r>
  <r>
    <x v="8"/>
    <s v="Produce"/>
    <s v="Oranges (Navel)"/>
    <s v="lb"/>
    <n v="0.7"/>
    <n v="0.72799999999999998"/>
    <n v="2.08"/>
    <n v="1.456"/>
    <n v="143"/>
    <n v="9"/>
    <n v="78"/>
    <n v="0.45454545454545453"/>
    <n v="65"/>
  </r>
  <r>
    <x v="8"/>
    <s v="Produce"/>
    <s v="Lemons"/>
    <s v="each"/>
    <n v="0.35"/>
    <n v="0.36399999999999999"/>
    <n v="2.08"/>
    <n v="0.72799999999999998"/>
    <n v="144"/>
    <n v="1"/>
    <n v="123"/>
    <n v="0.14583333333333334"/>
    <n v="21"/>
  </r>
  <r>
    <x v="8"/>
    <s v="Produce"/>
    <s v="Limes"/>
    <s v="each"/>
    <n v="0.2"/>
    <n v="0.20800000000000002"/>
    <n v="1.95"/>
    <n v="0.39"/>
    <n v="104"/>
    <n v="0"/>
    <n v="86"/>
    <n v="0.17307692307692307"/>
    <n v="18"/>
  </r>
  <r>
    <x v="8"/>
    <s v="Produce"/>
    <s v="Avocados (Hass)"/>
    <s v="each"/>
    <n v="0.75"/>
    <n v="0.78"/>
    <n v="1.95"/>
    <n v="1.4624999999999999"/>
    <n v="186"/>
    <n v="0"/>
    <n v="171"/>
    <n v="8.0645161290322578E-2"/>
    <n v="15"/>
  </r>
  <r>
    <x v="8"/>
    <s v="Produce"/>
    <s v="Tomatoes (Roma)"/>
    <s v="lb"/>
    <n v="0.6"/>
    <n v="0.624"/>
    <n v="1.99"/>
    <n v="1.194"/>
    <n v="180"/>
    <n v="4"/>
    <n v="3"/>
    <n v="0.98333333333333328"/>
    <n v="177"/>
  </r>
  <r>
    <x v="8"/>
    <s v="Produce"/>
    <s v="Potatoes (Russet)"/>
    <s v="lb"/>
    <n v="0.45"/>
    <n v="0.46800000000000003"/>
    <n v="2.0700000000000003"/>
    <n v="0.93150000000000011"/>
    <n v="80"/>
    <n v="3"/>
    <n v="8"/>
    <n v="0.9"/>
    <n v="72"/>
  </r>
  <r>
    <x v="8"/>
    <s v="Produce"/>
    <s v="Onions (Yellow)"/>
    <s v="lb"/>
    <n v="0.4"/>
    <n v="0.41600000000000004"/>
    <n v="2.0300000000000002"/>
    <n v="0.81200000000000017"/>
    <n v="89"/>
    <n v="5"/>
    <n v="4"/>
    <n v="0.9550561797752809"/>
    <n v="85"/>
  </r>
  <r>
    <x v="8"/>
    <s v="Produce"/>
    <s v="Carrots"/>
    <s v="lb"/>
    <n v="0.35"/>
    <n v="0.36399999999999999"/>
    <n v="1.99"/>
    <n v="0.69650000000000001"/>
    <n v="85"/>
    <n v="0"/>
    <n v="55"/>
    <n v="0.35294117647058826"/>
    <n v="30"/>
  </r>
  <r>
    <x v="8"/>
    <s v="Produce"/>
    <s v="Broccoli"/>
    <s v="lb"/>
    <n v="0.9"/>
    <n v="0.93600000000000005"/>
    <n v="1.96"/>
    <n v="1.764"/>
    <n v="55"/>
    <n v="0"/>
    <n v="31"/>
    <n v="0.43636363636363634"/>
    <n v="24"/>
  </r>
  <r>
    <x v="8"/>
    <s v="Produce"/>
    <s v="Lettuce (Romaine)"/>
    <s v="each"/>
    <n v="1"/>
    <n v="1.04"/>
    <n v="2.1"/>
    <n v="2.1"/>
    <n v="115"/>
    <n v="2"/>
    <n v="83"/>
    <n v="0.27826086956521739"/>
    <n v="32"/>
  </r>
  <r>
    <x v="8"/>
    <s v="Produce"/>
    <s v="Spinach (bagged)"/>
    <s v="lb"/>
    <n v="2.56"/>
    <n v="2.6624000000000003"/>
    <n v="1.95"/>
    <n v="4.992"/>
    <n v="124"/>
    <n v="1"/>
    <n v="49"/>
    <n v="0.60483870967741937"/>
    <n v="75"/>
  </r>
  <r>
    <x v="8"/>
    <s v="Produce"/>
    <s v="Bell Peppers (Green)"/>
    <s v="lb"/>
    <n v="0.75"/>
    <n v="0.78"/>
    <n v="2.08"/>
    <n v="1.56"/>
    <n v="53"/>
    <n v="2"/>
    <n v="10"/>
    <n v="0.81132075471698117"/>
    <n v="43"/>
  </r>
  <r>
    <x v="8"/>
    <s v="Produce"/>
    <s v="Cucumbers"/>
    <s v="each"/>
    <n v="0.4"/>
    <n v="0.41600000000000004"/>
    <n v="1.99"/>
    <n v="0.79600000000000004"/>
    <n v="128"/>
    <n v="10"/>
    <n v="14"/>
    <n v="0.890625"/>
    <n v="114"/>
  </r>
  <r>
    <x v="8"/>
    <s v="Produce"/>
    <s v="Grapes (Red Seedless)"/>
    <s v="lb"/>
    <n v="1.4"/>
    <n v="1.456"/>
    <n v="2.02"/>
    <n v="2.8279999999999998"/>
    <n v="183"/>
    <n v="9"/>
    <n v="31"/>
    <n v="0.8306010928961749"/>
    <n v="152"/>
  </r>
  <r>
    <x v="8"/>
    <s v="Produce"/>
    <s v="Strawberries (1 lb)"/>
    <s v="lb"/>
    <n v="2"/>
    <n v="2.08"/>
    <n v="2.0499999999999998"/>
    <n v="4.0999999999999996"/>
    <n v="167"/>
    <n v="8"/>
    <n v="27"/>
    <n v="0.83832335329341312"/>
    <n v="140"/>
  </r>
  <r>
    <x v="8"/>
    <s v="Produce"/>
    <s v="Blueberries"/>
    <s v="lb"/>
    <n v="0.45"/>
    <n v="0.46800000000000003"/>
    <n v="2.04"/>
    <n v="0.91800000000000004"/>
    <n v="162"/>
    <n v="5"/>
    <n v="21"/>
    <n v="0.87037037037037035"/>
    <n v="141"/>
  </r>
  <r>
    <x v="8"/>
    <s v="Produce"/>
    <s v="Pineapple"/>
    <s v="each"/>
    <n v="1.9"/>
    <n v="1.976"/>
    <n v="2.09"/>
    <n v="3.9709999999999996"/>
    <n v="143"/>
    <n v="1"/>
    <n v="16"/>
    <n v="0.88811188811188813"/>
    <n v="127"/>
  </r>
  <r>
    <x v="8"/>
    <s v="Produce"/>
    <s v="Watermelon (whole)"/>
    <s v="each"/>
    <n v="4"/>
    <n v="4.16"/>
    <n v="2.0499999999999998"/>
    <n v="8.1999999999999993"/>
    <n v="111"/>
    <n v="1"/>
    <n v="58"/>
    <n v="0.47747747747747749"/>
    <n v="53"/>
  </r>
  <r>
    <x v="8"/>
    <s v="Meat"/>
    <s v="Ground Beef (80/20)"/>
    <s v="lb"/>
    <n v="2.85"/>
    <n v="2.9640000000000004"/>
    <n v="2.08"/>
    <n v="5.9280000000000008"/>
    <n v="76"/>
    <n v="2"/>
    <n v="70"/>
    <n v="7.8947368421052627E-2"/>
    <n v="6"/>
  </r>
  <r>
    <x v="8"/>
    <s v="Meat"/>
    <s v="Ground Turkey"/>
    <s v="lb"/>
    <n v="2.5"/>
    <n v="2.6"/>
    <n v="1.98"/>
    <n v="4.95"/>
    <n v="85"/>
    <n v="5"/>
    <n v="56"/>
    <n v="0.3411764705882353"/>
    <n v="29"/>
  </r>
  <r>
    <x v="8"/>
    <s v="Meat"/>
    <s v="Boneless Skinless Chicken Breast"/>
    <s v="lb"/>
    <n v="2.1"/>
    <n v="2.1840000000000002"/>
    <n v="2.0300000000000002"/>
    <n v="4.2630000000000008"/>
    <n v="98"/>
    <n v="0"/>
    <n v="25"/>
    <n v="0.74489795918367352"/>
    <n v="73"/>
  </r>
  <r>
    <x v="8"/>
    <s v="Meat"/>
    <s v="Chicken Thighs (bone-in)"/>
    <s v="lb"/>
    <n v="1"/>
    <n v="1.04"/>
    <n v="2.0700000000000003"/>
    <n v="2.0700000000000003"/>
    <n v="94"/>
    <n v="1"/>
    <n v="24"/>
    <n v="0.74468085106382975"/>
    <n v="70"/>
  </r>
  <r>
    <x v="8"/>
    <s v="Meat"/>
    <s v="Whole Chicken"/>
    <s v="lb"/>
    <n v="0.9"/>
    <n v="0.93600000000000005"/>
    <n v="1.99"/>
    <n v="1.7909999999999999"/>
    <n v="27"/>
    <n v="0"/>
    <n v="9"/>
    <n v="0.66666666666666663"/>
    <n v="18"/>
  </r>
  <r>
    <x v="8"/>
    <s v="Meat"/>
    <s v="Pork Chops (bone-in)"/>
    <s v="lb"/>
    <n v="1.9"/>
    <n v="1.976"/>
    <n v="2.0099999999999998"/>
    <n v="3.8189999999999995"/>
    <n v="45"/>
    <n v="2"/>
    <n v="18"/>
    <n v="0.6"/>
    <n v="27"/>
  </r>
  <r>
    <x v="8"/>
    <s v="Meat"/>
    <s v="Pork Shoulder (Boston Butt)"/>
    <s v="lb"/>
    <n v="1.3"/>
    <n v="1.3520000000000001"/>
    <n v="2"/>
    <n v="2.6"/>
    <n v="70"/>
    <n v="6"/>
    <n v="10"/>
    <n v="0.8571428571428571"/>
    <n v="60"/>
  </r>
  <r>
    <x v="8"/>
    <s v="Meat"/>
    <s v="Bacon (Regular Cut)"/>
    <s v="lb"/>
    <n v="4"/>
    <n v="4.16"/>
    <n v="1.97"/>
    <n v="7.88"/>
    <n v="64"/>
    <n v="5"/>
    <n v="12"/>
    <n v="0.8125"/>
    <n v="52"/>
  </r>
  <r>
    <x v="8"/>
    <s v="Meat"/>
    <s v="Breakfast Sausage (bulk)"/>
    <s v="lb"/>
    <n v="2.2000000000000002"/>
    <n v="2.2880000000000003"/>
    <n v="2.0300000000000002"/>
    <n v="4.4660000000000011"/>
    <n v="63"/>
    <n v="0"/>
    <n v="52"/>
    <n v="0.17460317460317459"/>
    <n v="11"/>
  </r>
  <r>
    <x v="8"/>
    <s v="Meat"/>
    <s v="Italian Sausage (links)"/>
    <s v="lb"/>
    <n v="2.75"/>
    <n v="2.8600000000000003"/>
    <n v="1.96"/>
    <n v="5.39"/>
    <n v="24"/>
    <n v="9"/>
    <n v="7"/>
    <n v="0.70833333333333337"/>
    <n v="17"/>
  </r>
  <r>
    <x v="8"/>
    <s v="Meat"/>
    <s v="Beef Chuck Roast"/>
    <s v="lb"/>
    <n v="3.5"/>
    <n v="3.64"/>
    <n v="1.99"/>
    <n v="6.9649999999999999"/>
    <n v="89"/>
    <n v="3"/>
    <n v="67"/>
    <n v="0.24719101123595505"/>
    <n v="22"/>
  </r>
  <r>
    <x v="8"/>
    <s v="Meat"/>
    <s v="Beef Ribeye Steak (Boneless)"/>
    <s v="lb"/>
    <n v="8"/>
    <n v="8.32"/>
    <n v="2.02"/>
    <n v="16.16"/>
    <n v="45"/>
    <n v="0"/>
    <n v="30"/>
    <n v="0.33333333333333331"/>
    <n v="15"/>
  </r>
  <r>
    <x v="8"/>
    <s v="Meat"/>
    <s v="New York Strip Steak"/>
    <s v="lb"/>
    <n v="7"/>
    <n v="7.28"/>
    <n v="2.0300000000000002"/>
    <n v="14.21"/>
    <n v="87"/>
    <n v="1"/>
    <n v="27"/>
    <n v="0.68965517241379315"/>
    <n v="60"/>
  </r>
  <r>
    <x v="8"/>
    <s v="Meat"/>
    <s v="Chicken Wings"/>
    <s v="lb"/>
    <n v="1.8"/>
    <n v="1.8720000000000001"/>
    <n v="1.97"/>
    <n v="3.5459999999999998"/>
    <n v="38"/>
    <n v="1"/>
    <n v="10"/>
    <n v="0.73684210526315785"/>
    <n v="28"/>
  </r>
  <r>
    <x v="8"/>
    <s v="Meat"/>
    <s v="Lamb Chops"/>
    <s v="lb"/>
    <n v="9"/>
    <n v="9.36"/>
    <n v="1.98"/>
    <n v="17.82"/>
    <n v="39"/>
    <n v="0"/>
    <n v="0"/>
    <n v="1"/>
    <n v="39"/>
  </r>
  <r>
    <x v="8"/>
    <s v="Meat"/>
    <s v="Turkey (whole, frozen)"/>
    <s v="lb"/>
    <n v="0.95"/>
    <n v="0.98799999999999999"/>
    <n v="2.0700000000000003"/>
    <n v="1.9665000000000001"/>
    <n v="31"/>
    <n v="8"/>
    <n v="16"/>
    <n v="0.4838709677419355"/>
    <n v="15"/>
  </r>
  <r>
    <x v="8"/>
    <s v="Meat"/>
    <s v="Ham (bone-in, smoked)"/>
    <s v="lb"/>
    <n v="1.85"/>
    <n v="1.9240000000000002"/>
    <n v="1.98"/>
    <n v="3.6630000000000003"/>
    <n v="66"/>
    <n v="2"/>
    <n v="46"/>
    <n v="0.30303030303030304"/>
    <n v="20"/>
  </r>
  <r>
    <x v="8"/>
    <s v="Meat"/>
    <s v="Deli Turkey Breast (sliced)"/>
    <s v="lb"/>
    <n v="5.5"/>
    <n v="5.7200000000000006"/>
    <n v="2.1"/>
    <n v="11.55"/>
    <n v="20"/>
    <n v="6"/>
    <n v="3"/>
    <n v="0.85"/>
    <n v="17"/>
  </r>
  <r>
    <x v="8"/>
    <s v="Meat"/>
    <s v="Hot Dogs (beef, standard pack)"/>
    <s v="lb"/>
    <n v="1.9"/>
    <n v="1.976"/>
    <n v="2.0099999999999998"/>
    <n v="3.8189999999999995"/>
    <n v="33"/>
    <n v="1"/>
    <n v="23"/>
    <n v="0.30303030303030304"/>
    <n v="10"/>
  </r>
  <r>
    <x v="8"/>
    <s v="Meat"/>
    <s v="Meatballs (pre-cooked)"/>
    <s v="lb"/>
    <n v="2.75"/>
    <n v="2.8600000000000003"/>
    <n v="2.0499999999999998"/>
    <n v="5.6374999999999993"/>
    <n v="83"/>
    <n v="0"/>
    <n v="53"/>
    <n v="0.36144578313253012"/>
    <n v="30"/>
  </r>
  <r>
    <x v="8"/>
    <s v="Frozen"/>
    <s v="Frozen Pizza (12”)"/>
    <s v="each"/>
    <n v="3.25"/>
    <n v="3.38"/>
    <n v="2.0099999999999998"/>
    <n v="6.5324999999999989"/>
    <n v="87"/>
    <n v="2"/>
    <n v="59"/>
    <n v="0.32183908045977011"/>
    <n v="28"/>
  </r>
  <r>
    <x v="8"/>
    <s v="Frozen"/>
    <s v="Frozen Mixed Vegetables (16 oz)"/>
    <s v="each"/>
    <n v="0.9"/>
    <n v="0.93600000000000005"/>
    <n v="2.08"/>
    <n v="1.8720000000000001"/>
    <n v="86"/>
    <n v="0"/>
    <n v="56"/>
    <n v="0.34883720930232559"/>
    <n v="30"/>
  </r>
  <r>
    <x v="8"/>
    <s v="Frozen"/>
    <s v="Frozen French Fries (32 oz)"/>
    <s v="each"/>
    <n v="1.6"/>
    <n v="1.6640000000000001"/>
    <n v="2.1"/>
    <n v="3.3600000000000003"/>
    <n v="60"/>
    <n v="2"/>
    <n v="46"/>
    <n v="0.23333333333333334"/>
    <n v="14"/>
  </r>
  <r>
    <x v="8"/>
    <s v="Frozen"/>
    <s v="Frozen Broccoli Florets (16 oz)"/>
    <s v="each"/>
    <n v="1.1000000000000001"/>
    <n v="1.1440000000000001"/>
    <n v="2"/>
    <n v="2.2000000000000002"/>
    <n v="149"/>
    <n v="7"/>
    <n v="25"/>
    <n v="0.83221476510067116"/>
    <n v="124"/>
  </r>
  <r>
    <x v="8"/>
    <s v="Frozen"/>
    <s v="Frozen Corn (16 oz)"/>
    <s v="each"/>
    <n v="0.95"/>
    <n v="0.98799999999999999"/>
    <n v="2.09"/>
    <n v="1.9854999999999998"/>
    <n v="126"/>
    <n v="2"/>
    <n v="112"/>
    <n v="0.1111111111111111"/>
    <n v="14"/>
  </r>
  <r>
    <x v="8"/>
    <s v="Frozen"/>
    <s v="Ice Cream (1.5 qt)"/>
    <s v="each"/>
    <n v="2.75"/>
    <n v="2.8600000000000003"/>
    <n v="2.0300000000000002"/>
    <n v="5.5825000000000005"/>
    <n v="156"/>
    <n v="3"/>
    <n v="113"/>
    <n v="0.27564102564102566"/>
    <n v="43"/>
  </r>
  <r>
    <x v="8"/>
    <s v="Frozen"/>
    <s v="Ice Cream Sandwiches (box of 6)"/>
    <s v="each"/>
    <n v="1.9"/>
    <n v="1.976"/>
    <n v="2.02"/>
    <n v="3.8379999999999996"/>
    <n v="52"/>
    <n v="0"/>
    <n v="4"/>
    <n v="0.92307692307692313"/>
    <n v="48"/>
  </r>
  <r>
    <x v="8"/>
    <s v="Frozen"/>
    <s v="Frozen Chicken Nuggets (32 oz)"/>
    <s v="each"/>
    <n v="4"/>
    <n v="4.16"/>
    <n v="2.0499999999999998"/>
    <n v="8.1999999999999993"/>
    <n v="82"/>
    <n v="0"/>
    <n v="51"/>
    <n v="0.37804878048780488"/>
    <n v="31"/>
  </r>
  <r>
    <x v="8"/>
    <s v="Frozen"/>
    <s v="Frozen Burritos (individual)"/>
    <s v="each"/>
    <n v="0.8"/>
    <n v="0.83200000000000007"/>
    <n v="2"/>
    <n v="1.6"/>
    <n v="55"/>
    <n v="0"/>
    <n v="40"/>
    <n v="0.27272727272727271"/>
    <n v="15"/>
  </r>
  <r>
    <x v="8"/>
    <s v="Frozen"/>
    <s v="Frozen Meatballs (26 oz bag)"/>
    <s v="each"/>
    <n v="4.25"/>
    <n v="4.42"/>
    <n v="2.09"/>
    <n v="8.8825000000000003"/>
    <n v="99"/>
    <n v="2"/>
    <n v="74"/>
    <n v="0.25252525252525254"/>
    <n v="25"/>
  </r>
  <r>
    <x v="8"/>
    <s v="Frozen"/>
    <s v="Frozen Waffles (box of 10)"/>
    <s v="each"/>
    <n v="1.6"/>
    <n v="1.6640000000000001"/>
    <n v="1.96"/>
    <n v="3.1360000000000001"/>
    <n v="59"/>
    <n v="0"/>
    <n v="55"/>
    <n v="6.7796610169491525E-2"/>
    <n v="4"/>
  </r>
  <r>
    <x v="8"/>
    <s v="Frozen"/>
    <s v="Frozen Pancakes (box of 12)"/>
    <s v="each"/>
    <n v="1.65"/>
    <n v="1.716"/>
    <n v="1.96"/>
    <n v="3.234"/>
    <n v="54"/>
    <n v="1"/>
    <n v="53"/>
    <n v="1.8518518518518517E-2"/>
    <n v="1"/>
  </r>
  <r>
    <x v="8"/>
    <s v="Frozen"/>
    <s v="TV Dinner / Meal (10–12 oz)"/>
    <s v="each"/>
    <n v="2.2000000000000002"/>
    <n v="2.2880000000000003"/>
    <n v="2.0300000000000002"/>
    <n v="4.4660000000000011"/>
    <n v="72"/>
    <n v="2"/>
    <n v="32"/>
    <n v="0.55555555555555558"/>
    <n v="40"/>
  </r>
  <r>
    <x v="8"/>
    <s v="Frozen"/>
    <s v="Frozen Fish Fillets (breaded, 24 oz)"/>
    <s v="each"/>
    <n v="4"/>
    <n v="4.16"/>
    <n v="1.96"/>
    <n v="7.84"/>
    <n v="59"/>
    <n v="1"/>
    <n v="49"/>
    <n v="0.16949152542372881"/>
    <n v="10"/>
  </r>
  <r>
    <x v="8"/>
    <s v="Frozen"/>
    <s v="Frozen Shrimp (raw, peeled, 1 lb)"/>
    <s v="each"/>
    <n v="5.25"/>
    <n v="5.46"/>
    <n v="1.98"/>
    <n v="10.395"/>
    <n v="93"/>
    <n v="0"/>
    <n v="37"/>
    <n v="0.60215053763440862"/>
    <n v="56"/>
  </r>
  <r>
    <x v="8"/>
    <s v="Frozen"/>
    <s v="Frozen Fruit (Strawberries, 16 oz)"/>
    <s v="each"/>
    <n v="2"/>
    <n v="2.08"/>
    <n v="2.04"/>
    <n v="4.08"/>
    <n v="51"/>
    <n v="1"/>
    <n v="26"/>
    <n v="0.49019607843137253"/>
    <n v="25"/>
  </r>
  <r>
    <x v="8"/>
    <s v="Frozen"/>
    <s v="Frozen Pie (apple, 8”)"/>
    <s v="each"/>
    <n v="2.8"/>
    <n v="2.9119999999999999"/>
    <n v="2"/>
    <n v="5.6"/>
    <n v="62"/>
    <n v="7"/>
    <n v="33"/>
    <n v="0.46774193548387094"/>
    <n v="29"/>
  </r>
  <r>
    <x v="8"/>
    <s v="Frozen"/>
    <s v="Frozen Garlic Bread (16 oz)"/>
    <s v="each"/>
    <n v="1.35"/>
    <n v="1.4040000000000001"/>
    <n v="2.09"/>
    <n v="2.8214999999999999"/>
    <n v="89"/>
    <n v="3"/>
    <n v="14"/>
    <n v="0.84269662921348309"/>
    <n v="75"/>
  </r>
  <r>
    <x v="8"/>
    <s v="Frozen"/>
    <s v="Frozen Breakfast Sandwich (2-pack)"/>
    <s v="each"/>
    <n v="2.25"/>
    <n v="2.34"/>
    <n v="2.02"/>
    <n v="4.5449999999999999"/>
    <n v="51"/>
    <n v="2"/>
    <n v="31"/>
    <n v="0.39215686274509803"/>
    <n v="20"/>
  </r>
  <r>
    <x v="8"/>
    <s v="Frozen"/>
    <s v="Frozen Veggie Burgers (4-pack)"/>
    <s v="each"/>
    <n v="2.8"/>
    <n v="2.9119999999999999"/>
    <n v="1.95"/>
    <n v="5.46"/>
    <n v="133"/>
    <n v="0"/>
    <n v="60"/>
    <n v="0.54887218045112784"/>
    <n v="73"/>
  </r>
  <r>
    <x v="8"/>
    <s v="Deli"/>
    <s v="Sliced Turkey Breast"/>
    <s v="lb"/>
    <n v="5.25"/>
    <n v="5.46"/>
    <n v="1.98"/>
    <n v="10.395"/>
    <n v="94"/>
    <n v="10"/>
    <n v="20"/>
    <n v="0.78723404255319152"/>
    <n v="74"/>
  </r>
  <r>
    <x v="8"/>
    <s v="Deli"/>
    <s v="Sliced Ham (Honey or Black Forest)"/>
    <s v="lb"/>
    <n v="4.75"/>
    <n v="4.9400000000000004"/>
    <n v="2.08"/>
    <n v="9.8800000000000008"/>
    <n v="92"/>
    <n v="3"/>
    <n v="45"/>
    <n v="0.51086956521739135"/>
    <n v="47"/>
  </r>
  <r>
    <x v="8"/>
    <s v="Deli"/>
    <s v="Roast Beef (sliced)"/>
    <s v="lb"/>
    <n v="6.5"/>
    <n v="6.76"/>
    <n v="2.0700000000000003"/>
    <n v="13.455000000000002"/>
    <n v="102"/>
    <n v="1"/>
    <n v="68"/>
    <n v="0.33333333333333331"/>
    <n v="34"/>
  </r>
  <r>
    <x v="8"/>
    <s v="Deli"/>
    <s v="Genoa Salami"/>
    <s v="lb"/>
    <n v="5.75"/>
    <n v="5.98"/>
    <n v="1.99"/>
    <n v="11.442500000000001"/>
    <n v="46"/>
    <n v="6"/>
    <n v="5"/>
    <n v="0.89130434782608692"/>
    <n v="41"/>
  </r>
  <r>
    <x v="8"/>
    <s v="Deli"/>
    <s v="Hard Salami"/>
    <s v="lb"/>
    <n v="5.5"/>
    <n v="5.7200000000000006"/>
    <n v="2"/>
    <n v="11"/>
    <n v="38"/>
    <n v="1"/>
    <n v="37"/>
    <n v="2.6315789473684209E-2"/>
    <n v="1"/>
  </r>
  <r>
    <x v="8"/>
    <s v="Deli"/>
    <s v="Pepperoni (sliced)"/>
    <s v="lb"/>
    <n v="4.25"/>
    <n v="4.42"/>
    <n v="2.09"/>
    <n v="8.8825000000000003"/>
    <n v="104"/>
    <n v="2"/>
    <n v="61"/>
    <n v="0.41346153846153844"/>
    <n v="43"/>
  </r>
  <r>
    <x v="8"/>
    <s v="Deli"/>
    <s v="Chicken Breast (sliced)"/>
    <s v="lb"/>
    <n v="5.0999999999999996"/>
    <n v="5.3039999999999994"/>
    <n v="1.99"/>
    <n v="10.148999999999999"/>
    <n v="44"/>
    <n v="3"/>
    <n v="21"/>
    <n v="0.52272727272727271"/>
    <n v="23"/>
  </r>
  <r>
    <x v="8"/>
    <s v="Deli"/>
    <s v="Bologna"/>
    <s v="lb"/>
    <n v="2.8"/>
    <n v="2.9119999999999999"/>
    <n v="2.06"/>
    <n v="5.7679999999999998"/>
    <n v="53"/>
    <n v="0"/>
    <n v="17"/>
    <n v="0.67924528301886788"/>
    <n v="36"/>
  </r>
  <r>
    <x v="8"/>
    <s v="Deli"/>
    <s v="Mortadella"/>
    <s v="lb"/>
    <n v="4"/>
    <n v="4.16"/>
    <n v="2.06"/>
    <n v="8.24"/>
    <n v="67"/>
    <n v="9"/>
    <n v="13"/>
    <n v="0.80597014925373134"/>
    <n v="54"/>
  </r>
  <r>
    <x v="8"/>
    <s v="Deli"/>
    <s v="Prosciutto"/>
    <s v="lb"/>
    <n v="9"/>
    <n v="9.36"/>
    <n v="2.06"/>
    <n v="18.54"/>
    <n v="64"/>
    <n v="4"/>
    <n v="9"/>
    <n v="0.859375"/>
    <n v="55"/>
  </r>
  <r>
    <x v="8"/>
    <s v="Deli"/>
    <s v="American Cheese (processed)"/>
    <s v="lb"/>
    <n v="2.75"/>
    <n v="2.8600000000000003"/>
    <n v="2.04"/>
    <n v="5.61"/>
    <n v="78"/>
    <n v="2"/>
    <n v="45"/>
    <n v="0.42307692307692307"/>
    <n v="33"/>
  </r>
  <r>
    <x v="8"/>
    <s v="Deli"/>
    <s v="Cheddar Cheese (sharp)"/>
    <s v="lb"/>
    <n v="3.9"/>
    <n v="4.056"/>
    <n v="2.0700000000000003"/>
    <n v="8.0730000000000004"/>
    <n v="98"/>
    <n v="0"/>
    <n v="12"/>
    <n v="0.87755102040816324"/>
    <n v="86"/>
  </r>
  <r>
    <x v="8"/>
    <s v="Deli"/>
    <s v="Swiss Cheese"/>
    <s v="lb"/>
    <n v="4.3"/>
    <n v="4.4719999999999995"/>
    <n v="2.0300000000000002"/>
    <n v="8.729000000000001"/>
    <n v="91"/>
    <n v="0"/>
    <n v="2"/>
    <n v="0.97802197802197799"/>
    <n v="89"/>
  </r>
  <r>
    <x v="8"/>
    <s v="Deli"/>
    <s v="Provolone Cheese"/>
    <s v="lb"/>
    <n v="4"/>
    <n v="4.16"/>
    <n v="2.0099999999999998"/>
    <n v="8.0399999999999991"/>
    <n v="89"/>
    <n v="1"/>
    <n v="5"/>
    <n v="0.9438202247191011"/>
    <n v="84"/>
  </r>
  <r>
    <x v="8"/>
    <s v="Deli"/>
    <s v="Mozzarella (fresh, sliced)"/>
    <s v="lb"/>
    <n v="4.75"/>
    <n v="4.9400000000000004"/>
    <n v="2.0099999999999998"/>
    <n v="9.5474999999999994"/>
    <n v="79"/>
    <n v="4"/>
    <n v="7"/>
    <n v="0.91139240506329111"/>
    <n v="72"/>
  </r>
  <r>
    <x v="8"/>
    <s v="Deli"/>
    <s v="Coleslaw (prepared)"/>
    <s v="lb"/>
    <n v="2.25"/>
    <n v="2.34"/>
    <n v="2.04"/>
    <n v="4.59"/>
    <n v="107"/>
    <n v="1"/>
    <n v="43"/>
    <n v="0.59813084112149528"/>
    <n v="64"/>
  </r>
  <r>
    <x v="8"/>
    <s v="Deli"/>
    <s v="Potato Salad (prepared)"/>
    <s v="lb"/>
    <n v="2.1"/>
    <n v="2.1840000000000002"/>
    <n v="1.96"/>
    <n v="4.1159999999999997"/>
    <n v="104"/>
    <n v="2"/>
    <n v="32"/>
    <n v="0.69230769230769229"/>
    <n v="72"/>
  </r>
  <r>
    <x v="8"/>
    <s v="Deli"/>
    <s v="Macaroni Salad"/>
    <s v="lb"/>
    <n v="2"/>
    <n v="2.08"/>
    <n v="2.06"/>
    <n v="4.12"/>
    <n v="38"/>
    <n v="4"/>
    <n v="16"/>
    <n v="0.57894736842105265"/>
    <n v="22"/>
  </r>
  <r>
    <x v="8"/>
    <s v="Deli"/>
    <s v="Rotisserie Chicken (whole)"/>
    <s v="each"/>
    <n v="4.5"/>
    <n v="4.68"/>
    <n v="2.0099999999999998"/>
    <n v="9.0449999999999982"/>
    <n v="63"/>
    <n v="0"/>
    <n v="47"/>
    <n v="0.25396825396825395"/>
    <n v="16"/>
  </r>
  <r>
    <x v="8"/>
    <s v="Deli"/>
    <s v="Deli Sandwich (made to order)"/>
    <s v="each"/>
    <n v="3.75"/>
    <n v="3.9000000000000004"/>
    <n v="1.96"/>
    <n v="7.35"/>
    <n v="105"/>
    <n v="3"/>
    <n v="74"/>
    <n v="0.29523809523809524"/>
    <n v="31"/>
  </r>
  <r>
    <x v="8"/>
    <s v="Dairy"/>
    <s v="Whole Milk (1 gallon)"/>
    <s v="each"/>
    <n v="2"/>
    <n v="2.08"/>
    <n v="2.09"/>
    <n v="4.18"/>
    <n v="158"/>
    <n v="0"/>
    <n v="76"/>
    <n v="0.51898734177215189"/>
    <n v="82"/>
  </r>
  <r>
    <x v="8"/>
    <s v="Dairy"/>
    <s v="2% Milk (1 gallon)"/>
    <s v="each"/>
    <n v="1.95"/>
    <n v="2.028"/>
    <n v="2.02"/>
    <n v="3.9390000000000001"/>
    <n v="94"/>
    <n v="8"/>
    <n v="49"/>
    <n v="0.47872340425531917"/>
    <n v="45"/>
  </r>
  <r>
    <x v="8"/>
    <s v="Dairy"/>
    <s v="Skim Milk (1 gallon)"/>
    <s v="each"/>
    <n v="1.9"/>
    <n v="1.976"/>
    <n v="2.0700000000000003"/>
    <n v="3.9330000000000003"/>
    <n v="60"/>
    <n v="2"/>
    <n v="10"/>
    <n v="0.83333333333333337"/>
    <n v="50"/>
  </r>
  <r>
    <x v="8"/>
    <s v="Dairy"/>
    <s v="Organic Milk (1/2 gallon)"/>
    <s v="each"/>
    <n v="3.1"/>
    <n v="3.2240000000000002"/>
    <n v="2.06"/>
    <n v="6.3860000000000001"/>
    <n v="99"/>
    <n v="0"/>
    <n v="94"/>
    <n v="5.0505050505050504E-2"/>
    <n v="5"/>
  </r>
  <r>
    <x v="8"/>
    <s v="Dairy"/>
    <s v="Heavy Whipping Cream (pint)"/>
    <s v="each"/>
    <n v="2"/>
    <n v="2.08"/>
    <n v="2.1"/>
    <n v="4.2"/>
    <n v="123"/>
    <n v="1"/>
    <n v="27"/>
    <n v="0.78048780487804881"/>
    <n v="96"/>
  </r>
  <r>
    <x v="8"/>
    <s v="Dairy"/>
    <s v="Half &amp; Half (quart)"/>
    <s v="each"/>
    <n v="1.7"/>
    <n v="1.768"/>
    <n v="1.95"/>
    <n v="3.3149999999999999"/>
    <n v="81"/>
    <n v="1"/>
    <n v="69"/>
    <n v="0.14814814814814814"/>
    <n v="12"/>
  </r>
  <r>
    <x v="8"/>
    <s v="Dairy"/>
    <s v="Buttermilk (quart)"/>
    <s v="each"/>
    <n v="1.5"/>
    <n v="1.56"/>
    <n v="2.1"/>
    <n v="3.1500000000000004"/>
    <n v="119"/>
    <n v="4"/>
    <n v="40"/>
    <n v="0.66386554621848737"/>
    <n v="79"/>
  </r>
  <r>
    <x v="8"/>
    <s v="Dairy"/>
    <s v="Butter (salted, 1 lb)"/>
    <s v="each"/>
    <n v="2.65"/>
    <n v="2.7559999999999998"/>
    <n v="1.96"/>
    <n v="5.194"/>
    <n v="123"/>
    <n v="4"/>
    <n v="15"/>
    <n v="0.87804878048780488"/>
    <n v="108"/>
  </r>
  <r>
    <x v="8"/>
    <s v="Dairy"/>
    <s v="Margarine (1 lb)"/>
    <s v="each"/>
    <n v="1.2"/>
    <n v="1.248"/>
    <n v="2.02"/>
    <n v="2.4239999999999999"/>
    <n v="152"/>
    <n v="3"/>
    <n v="67"/>
    <n v="0.55921052631578949"/>
    <n v="85"/>
  </r>
  <r>
    <x v="8"/>
    <s v="Dairy"/>
    <s v="Sour Cream (16 oz)"/>
    <s v="each"/>
    <n v="1.4"/>
    <n v="1.456"/>
    <n v="2.0700000000000003"/>
    <n v="2.8980000000000001"/>
    <n v="131"/>
    <n v="0"/>
    <n v="98"/>
    <n v="0.25190839694656486"/>
    <n v="33"/>
  </r>
  <r>
    <x v="8"/>
    <s v="Dairy"/>
    <s v="Cottage Cheese (16 oz)"/>
    <s v="each"/>
    <n v="1.6"/>
    <n v="1.6640000000000001"/>
    <n v="2.08"/>
    <n v="3.3280000000000003"/>
    <n v="70"/>
    <n v="0"/>
    <n v="47"/>
    <n v="0.32857142857142857"/>
    <n v="23"/>
  </r>
  <r>
    <x v="8"/>
    <s v="Dairy"/>
    <s v="Greek Yogurt (single 5.3 oz cup)"/>
    <s v="each"/>
    <n v="0.7"/>
    <n v="0.72799999999999998"/>
    <n v="2.02"/>
    <n v="1.4139999999999999"/>
    <n v="164"/>
    <n v="0"/>
    <n v="63"/>
    <n v="0.61585365853658536"/>
    <n v="101"/>
  </r>
  <r>
    <x v="8"/>
    <s v="Dairy"/>
    <s v="Yogurt (regular, 6 oz)"/>
    <s v="each"/>
    <n v="0.55000000000000004"/>
    <n v="0.57200000000000006"/>
    <n v="2"/>
    <n v="1.1000000000000001"/>
    <n v="160"/>
    <n v="2"/>
    <n v="89"/>
    <n v="0.44374999999999998"/>
    <n v="71"/>
  </r>
  <r>
    <x v="8"/>
    <s v="Dairy"/>
    <s v="Cream Cheese (8 oz block)"/>
    <s v="each"/>
    <n v="1.4"/>
    <n v="1.456"/>
    <n v="2.0700000000000003"/>
    <n v="2.8980000000000001"/>
    <n v="73"/>
    <n v="6"/>
    <n v="61"/>
    <n v="0.16438356164383561"/>
    <n v="12"/>
  </r>
  <r>
    <x v="8"/>
    <s v="Dairy"/>
    <s v="Shredded Cheese (8 oz bag)"/>
    <s v="each"/>
    <n v="2"/>
    <n v="2.08"/>
    <n v="2.04"/>
    <n v="4.08"/>
    <n v="119"/>
    <n v="1"/>
    <n v="75"/>
    <n v="0.36974789915966388"/>
    <n v="44"/>
  </r>
  <r>
    <x v="8"/>
    <s v="Dairy"/>
    <s v="Sliced Cheese (8 oz)"/>
    <s v="each"/>
    <n v="2.25"/>
    <n v="2.34"/>
    <n v="2.06"/>
    <n v="4.6349999999999998"/>
    <n v="89"/>
    <n v="0"/>
    <n v="10"/>
    <n v="0.88764044943820219"/>
    <n v="79"/>
  </r>
  <r>
    <x v="8"/>
    <s v="Dairy"/>
    <s v="Cheddar Cheese Block (1 lb)"/>
    <s v="each"/>
    <n v="3.4"/>
    <n v="3.536"/>
    <n v="2.0099999999999998"/>
    <n v="6.8339999999999987"/>
    <n v="94"/>
    <n v="2"/>
    <n v="88"/>
    <n v="6.3829787234042548E-2"/>
    <n v="6"/>
  </r>
  <r>
    <x v="8"/>
    <s v="Dairy"/>
    <s v="Mozzarella (low moisture, 1 lb)"/>
    <s v="each"/>
    <n v="3.1"/>
    <n v="3.2240000000000002"/>
    <n v="2.09"/>
    <n v="6.4790000000000001"/>
    <n v="144"/>
    <n v="5"/>
    <n v="17"/>
    <n v="0.88194444444444442"/>
    <n v="127"/>
  </r>
  <r>
    <x v="8"/>
    <s v="Dairy"/>
    <s v="Eggs (dozen, large, Grade A)"/>
    <s v="each"/>
    <n v="1.5"/>
    <n v="1.56"/>
    <n v="2.02"/>
    <n v="3.0300000000000002"/>
    <n v="96"/>
    <n v="4"/>
    <n v="18"/>
    <n v="0.8125"/>
    <n v="78"/>
  </r>
  <r>
    <x v="8"/>
    <s v="Dairy"/>
    <s v="Egg Substitute (16 oz carton)"/>
    <s v="each"/>
    <n v="1.9"/>
    <n v="1.976"/>
    <n v="2.0300000000000002"/>
    <n v="3.8570000000000002"/>
    <n v="64"/>
    <n v="6"/>
    <n v="22"/>
    <n v="0.65625"/>
    <n v="42"/>
  </r>
  <r>
    <x v="8"/>
    <s v="Bakery"/>
    <s v="White Sandwich Bread (loaf)"/>
    <s v="each"/>
    <n v="1.3"/>
    <n v="1.3520000000000001"/>
    <n v="2.0499999999999998"/>
    <n v="2.665"/>
    <n v="122"/>
    <n v="1"/>
    <n v="54"/>
    <n v="0.55737704918032782"/>
    <n v="68"/>
  </r>
  <r>
    <x v="8"/>
    <s v="Bakery"/>
    <s v="Whole Wheat Bread (loaf)"/>
    <s v="each"/>
    <n v="1.6"/>
    <n v="1.6640000000000001"/>
    <n v="2.02"/>
    <n v="3.2320000000000002"/>
    <n v="117"/>
    <n v="0"/>
    <n v="101"/>
    <n v="0.13675213675213677"/>
    <n v="16"/>
  </r>
  <r>
    <x v="8"/>
    <s v="Bakery"/>
    <s v="French Baguette"/>
    <s v="each"/>
    <n v="1.35"/>
    <n v="1.4040000000000001"/>
    <n v="2.1"/>
    <n v="2.8350000000000004"/>
    <n v="65"/>
    <n v="6"/>
    <n v="53"/>
    <n v="0.18461538461538463"/>
    <n v="12"/>
  </r>
  <r>
    <x v="8"/>
    <s v="Bakery"/>
    <s v="Italian Bread (loaf)"/>
    <s v="each"/>
    <n v="1.6"/>
    <n v="1.6640000000000001"/>
    <n v="2.0499999999999998"/>
    <n v="3.28"/>
    <n v="101"/>
    <n v="3"/>
    <n v="81"/>
    <n v="0.19801980198019803"/>
    <n v="20"/>
  </r>
  <r>
    <x v="8"/>
    <s v="Bakery"/>
    <s v="Dinner Rolls (12-pack)"/>
    <s v="each"/>
    <n v="2.1"/>
    <n v="2.1840000000000002"/>
    <n v="1.98"/>
    <n v="4.1580000000000004"/>
    <n v="43"/>
    <n v="1"/>
    <n v="25"/>
    <n v="0.41860465116279072"/>
    <n v="18"/>
  </r>
  <r>
    <x v="8"/>
    <s v="Bakery"/>
    <s v="Kaiser Rolls (6-pack)"/>
    <s v="each"/>
    <n v="1.85"/>
    <n v="1.9240000000000002"/>
    <n v="2.0300000000000002"/>
    <n v="3.7555000000000005"/>
    <n v="128"/>
    <n v="4"/>
    <n v="5"/>
    <n v="0.9609375"/>
    <n v="123"/>
  </r>
  <r>
    <x v="8"/>
    <s v="Bakery"/>
    <s v="Hamburger Buns (8-pack)"/>
    <s v="each"/>
    <n v="1.55"/>
    <n v="1.6120000000000001"/>
    <n v="1.99"/>
    <n v="3.0845000000000002"/>
    <n v="148"/>
    <n v="5"/>
    <n v="3"/>
    <n v="0.97972972972972971"/>
    <n v="145"/>
  </r>
  <r>
    <x v="8"/>
    <s v="Bakery"/>
    <s v="Hot Dog Buns (8-pack)"/>
    <s v="each"/>
    <n v="1.55"/>
    <n v="1.6120000000000001"/>
    <n v="2.09"/>
    <n v="3.2395"/>
    <n v="81"/>
    <n v="3"/>
    <n v="28"/>
    <n v="0.65432098765432101"/>
    <n v="53"/>
  </r>
  <r>
    <x v="8"/>
    <s v="Bakery"/>
    <s v="English Muffins (6-pack)"/>
    <s v="each"/>
    <n v="1.75"/>
    <n v="1.82"/>
    <n v="2.1"/>
    <n v="3.6750000000000003"/>
    <n v="128"/>
    <n v="3"/>
    <n v="58"/>
    <n v="0.546875"/>
    <n v="70"/>
  </r>
  <r>
    <x v="8"/>
    <s v="Bakery"/>
    <s v="Bagels (6-pack)"/>
    <s v="each"/>
    <n v="2.2000000000000002"/>
    <n v="2.2880000000000003"/>
    <n v="2.06"/>
    <n v="4.5320000000000009"/>
    <n v="57"/>
    <n v="1"/>
    <n v="33"/>
    <n v="0.42105263157894735"/>
    <n v="24"/>
  </r>
  <r>
    <x v="8"/>
    <s v="Bakery"/>
    <s v="Croissants (4-pack)"/>
    <s v="each"/>
    <n v="2.75"/>
    <n v="2.8600000000000003"/>
    <n v="2.09"/>
    <n v="5.7474999999999996"/>
    <n v="79"/>
    <n v="2"/>
    <n v="16"/>
    <n v="0.79746835443037978"/>
    <n v="63"/>
  </r>
  <r>
    <x v="8"/>
    <s v="Bakery"/>
    <s v="Muffins (4-pack, assorted)"/>
    <s v="each"/>
    <n v="2.4"/>
    <n v="2.496"/>
    <n v="2.02"/>
    <n v="4.8479999999999999"/>
    <n v="111"/>
    <n v="2"/>
    <n v="106"/>
    <n v="4.5045045045045043E-2"/>
    <n v="5"/>
  </r>
  <r>
    <x v="8"/>
    <s v="Bakery"/>
    <s v="Donuts (6-pack, glazed)"/>
    <s v="each"/>
    <n v="2.7"/>
    <n v="2.8080000000000003"/>
    <n v="1.97"/>
    <n v="5.319"/>
    <n v="78"/>
    <n v="5"/>
    <n v="42"/>
    <n v="0.46153846153846156"/>
    <n v="36"/>
  </r>
  <r>
    <x v="8"/>
    <s v="Bakery"/>
    <s v="Danish Pastries (4-pack)"/>
    <s v="each"/>
    <n v="2.6"/>
    <n v="2.7040000000000002"/>
    <n v="2.08"/>
    <n v="5.4080000000000004"/>
    <n v="143"/>
    <n v="5"/>
    <n v="79"/>
    <n v="0.44755244755244755"/>
    <n v="64"/>
  </r>
  <r>
    <x v="8"/>
    <s v="Bakery"/>
    <s v="Apple Pie (9”)"/>
    <s v="each"/>
    <n v="4"/>
    <n v="4.16"/>
    <n v="1.97"/>
    <n v="7.88"/>
    <n v="53"/>
    <n v="5"/>
    <n v="1"/>
    <n v="0.98113207547169812"/>
    <n v="52"/>
  </r>
  <r>
    <x v="8"/>
    <s v="Bakery"/>
    <s v="Pumpkin Pie (9”)"/>
    <s v="each"/>
    <n v="4.25"/>
    <n v="4.42"/>
    <n v="2.0499999999999998"/>
    <n v="8.7124999999999986"/>
    <n v="71"/>
    <n v="0"/>
    <n v="33"/>
    <n v="0.53521126760563376"/>
    <n v="38"/>
  </r>
  <r>
    <x v="8"/>
    <s v="Bakery"/>
    <s v="Chocolate Cake (single layer)"/>
    <s v="each"/>
    <n v="5"/>
    <n v="5.2"/>
    <n v="2.09"/>
    <n v="10.45"/>
    <n v="90"/>
    <n v="4"/>
    <n v="7"/>
    <n v="0.92222222222222228"/>
    <n v="83"/>
  </r>
  <r>
    <x v="8"/>
    <s v="Bakery"/>
    <s v="Cupcakes (6-pack)"/>
    <s v="each"/>
    <n v="3"/>
    <n v="3.12"/>
    <n v="1.95"/>
    <n v="5.85"/>
    <n v="77"/>
    <n v="4"/>
    <n v="12"/>
    <n v="0.8441558441558441"/>
    <n v="65"/>
  </r>
  <r>
    <x v="8"/>
    <s v="Bakery"/>
    <s v="Brownies (6-pack)"/>
    <s v="each"/>
    <n v="2.4"/>
    <n v="2.496"/>
    <n v="2.02"/>
    <n v="4.8479999999999999"/>
    <n v="136"/>
    <n v="3"/>
    <n v="105"/>
    <n v="0.22794117647058823"/>
    <n v="31"/>
  </r>
  <r>
    <x v="8"/>
    <s v="Bakery"/>
    <s v="Coffee Cake (whole)"/>
    <s v="each"/>
    <n v="3.25"/>
    <n v="3.38"/>
    <n v="2.1"/>
    <n v="6.8250000000000002"/>
    <n v="62"/>
    <n v="4"/>
    <n v="7"/>
    <n v="0.88709677419354838"/>
    <n v="55"/>
  </r>
  <r>
    <x v="9"/>
    <s v="Produce"/>
    <s v="Bananas"/>
    <s v="lb"/>
    <n v="0.35"/>
    <n v="0.35349999999999998"/>
    <n v="2.0499999999999998"/>
    <n v="0.71749999999999992"/>
    <n v="112"/>
    <n v="5"/>
    <n v="93"/>
    <n v="0.16964285714285715"/>
    <n v="19"/>
  </r>
  <r>
    <x v="9"/>
    <s v="Produce"/>
    <s v="Apples (Gala)"/>
    <s v="lb"/>
    <n v="0.85"/>
    <n v="0.85849999999999993"/>
    <n v="2.08"/>
    <n v="1.768"/>
    <n v="192"/>
    <n v="2"/>
    <n v="95"/>
    <n v="0.50520833333333337"/>
    <n v="97"/>
  </r>
  <r>
    <x v="9"/>
    <s v="Produce"/>
    <s v="Oranges (Navel)"/>
    <s v="lb"/>
    <n v="0.7"/>
    <n v="0.70699999999999996"/>
    <n v="2.0700000000000003"/>
    <n v="1.4490000000000001"/>
    <n v="194"/>
    <n v="2"/>
    <n v="93"/>
    <n v="0.52061855670103097"/>
    <n v="101"/>
  </r>
  <r>
    <x v="9"/>
    <s v="Produce"/>
    <s v="Lemons"/>
    <s v="each"/>
    <n v="0.35"/>
    <n v="0.35349999999999998"/>
    <n v="1.95"/>
    <n v="0.6825"/>
    <n v="102"/>
    <n v="0"/>
    <n v="64"/>
    <n v="0.37254901960784315"/>
    <n v="38"/>
  </r>
  <r>
    <x v="9"/>
    <s v="Produce"/>
    <s v="Limes"/>
    <s v="each"/>
    <n v="0.2"/>
    <n v="0.20200000000000001"/>
    <n v="1.95"/>
    <n v="0.39"/>
    <n v="153"/>
    <n v="1"/>
    <n v="38"/>
    <n v="0.75163398692810457"/>
    <n v="115"/>
  </r>
  <r>
    <x v="9"/>
    <s v="Produce"/>
    <s v="Avocados (Hass)"/>
    <s v="each"/>
    <n v="0.75"/>
    <n v="0.75750000000000006"/>
    <n v="2.0300000000000002"/>
    <n v="1.5225000000000002"/>
    <n v="153"/>
    <n v="3"/>
    <n v="80"/>
    <n v="0.47712418300653597"/>
    <n v="73"/>
  </r>
  <r>
    <x v="9"/>
    <s v="Produce"/>
    <s v="Tomatoes (Roma)"/>
    <s v="lb"/>
    <n v="0.6"/>
    <n v="0.60599999999999998"/>
    <n v="2.09"/>
    <n v="1.2539999999999998"/>
    <n v="88"/>
    <n v="5"/>
    <n v="58"/>
    <n v="0.34090909090909088"/>
    <n v="30"/>
  </r>
  <r>
    <x v="9"/>
    <s v="Produce"/>
    <s v="Potatoes (Russet)"/>
    <s v="lb"/>
    <n v="0.45"/>
    <n v="0.45450000000000002"/>
    <n v="2.08"/>
    <n v="0.93600000000000005"/>
    <n v="183"/>
    <n v="0"/>
    <n v="83"/>
    <n v="0.54644808743169404"/>
    <n v="100"/>
  </r>
  <r>
    <x v="9"/>
    <s v="Produce"/>
    <s v="Onions (Yellow)"/>
    <s v="lb"/>
    <n v="0.4"/>
    <n v="0.40400000000000003"/>
    <n v="1.95"/>
    <n v="0.78"/>
    <n v="116"/>
    <n v="0"/>
    <n v="87"/>
    <n v="0.25"/>
    <n v="29"/>
  </r>
  <r>
    <x v="9"/>
    <s v="Produce"/>
    <s v="Carrots"/>
    <s v="lb"/>
    <n v="0.35"/>
    <n v="0.35349999999999998"/>
    <n v="2.0700000000000003"/>
    <n v="0.72450000000000003"/>
    <n v="184"/>
    <n v="3"/>
    <n v="85"/>
    <n v="0.53804347826086951"/>
    <n v="99"/>
  </r>
  <r>
    <x v="9"/>
    <s v="Produce"/>
    <s v="Broccoli"/>
    <s v="lb"/>
    <n v="0.9"/>
    <n v="0.90900000000000003"/>
    <n v="2"/>
    <n v="1.8"/>
    <n v="91"/>
    <n v="0"/>
    <n v="85"/>
    <n v="6.5934065934065936E-2"/>
    <n v="6"/>
  </r>
  <r>
    <x v="9"/>
    <s v="Produce"/>
    <s v="Lettuce (Romaine)"/>
    <s v="each"/>
    <n v="1"/>
    <n v="1.01"/>
    <n v="1.96"/>
    <n v="1.96"/>
    <n v="64"/>
    <n v="0"/>
    <n v="43"/>
    <n v="0.328125"/>
    <n v="21"/>
  </r>
  <r>
    <x v="9"/>
    <s v="Produce"/>
    <s v="Spinach (bagged)"/>
    <s v="lb"/>
    <n v="2.56"/>
    <n v="2.5855999999999999"/>
    <n v="1.99"/>
    <n v="5.0944000000000003"/>
    <n v="160"/>
    <n v="0"/>
    <n v="136"/>
    <n v="0.15"/>
    <n v="24"/>
  </r>
  <r>
    <x v="9"/>
    <s v="Produce"/>
    <s v="Bell Peppers (Green)"/>
    <s v="lb"/>
    <n v="0.75"/>
    <n v="0.75750000000000006"/>
    <n v="2.08"/>
    <n v="1.56"/>
    <n v="82"/>
    <n v="0"/>
    <n v="36"/>
    <n v="0.56097560975609762"/>
    <n v="46"/>
  </r>
  <r>
    <x v="9"/>
    <s v="Produce"/>
    <s v="Cucumbers"/>
    <s v="each"/>
    <n v="0.4"/>
    <n v="0.40400000000000003"/>
    <n v="2"/>
    <n v="0.8"/>
    <n v="87"/>
    <n v="0"/>
    <n v="73"/>
    <n v="0.16091954022988506"/>
    <n v="14"/>
  </r>
  <r>
    <x v="9"/>
    <s v="Produce"/>
    <s v="Grapes (Red Seedless)"/>
    <s v="lb"/>
    <n v="1.4"/>
    <n v="1.4139999999999999"/>
    <n v="2.0700000000000003"/>
    <n v="2.8980000000000001"/>
    <n v="146"/>
    <n v="1"/>
    <n v="35"/>
    <n v="0.76027397260273977"/>
    <n v="111"/>
  </r>
  <r>
    <x v="9"/>
    <s v="Produce"/>
    <s v="Strawberries (1 lb)"/>
    <s v="lb"/>
    <n v="2"/>
    <n v="2.02"/>
    <n v="2.0300000000000002"/>
    <n v="4.0600000000000005"/>
    <n v="82"/>
    <n v="1"/>
    <n v="27"/>
    <n v="0.67073170731707321"/>
    <n v="55"/>
  </r>
  <r>
    <x v="9"/>
    <s v="Produce"/>
    <s v="Blueberries"/>
    <s v="lb"/>
    <n v="0.45"/>
    <n v="0.45450000000000002"/>
    <n v="2.0499999999999998"/>
    <n v="0.92249999999999999"/>
    <n v="135"/>
    <n v="6"/>
    <n v="103"/>
    <n v="0.23703703703703705"/>
    <n v="32"/>
  </r>
  <r>
    <x v="9"/>
    <s v="Produce"/>
    <s v="Pineapple"/>
    <s v="each"/>
    <n v="1.9"/>
    <n v="1.9189999999999998"/>
    <n v="2.06"/>
    <n v="3.9139999999999997"/>
    <n v="115"/>
    <n v="2"/>
    <n v="65"/>
    <n v="0.43478260869565216"/>
    <n v="50"/>
  </r>
  <r>
    <x v="9"/>
    <s v="Produce"/>
    <s v="Watermelon (whole)"/>
    <s v="each"/>
    <n v="4"/>
    <n v="4.04"/>
    <n v="2.0700000000000003"/>
    <n v="8.2800000000000011"/>
    <n v="59"/>
    <n v="4"/>
    <n v="54"/>
    <n v="8.4745762711864403E-2"/>
    <n v="5"/>
  </r>
  <r>
    <x v="9"/>
    <s v="Meat"/>
    <s v="Ground Beef (80/20)"/>
    <s v="lb"/>
    <n v="2.85"/>
    <n v="2.8785000000000003"/>
    <n v="2.06"/>
    <n v="5.8710000000000004"/>
    <n v="24"/>
    <n v="0"/>
    <n v="7"/>
    <n v="0.70833333333333337"/>
    <n v="17"/>
  </r>
  <r>
    <x v="9"/>
    <s v="Meat"/>
    <s v="Ground Turkey"/>
    <s v="lb"/>
    <n v="2.5"/>
    <n v="2.5249999999999999"/>
    <n v="2.08"/>
    <n v="5.2"/>
    <n v="93"/>
    <n v="0"/>
    <n v="47"/>
    <n v="0.4946236559139785"/>
    <n v="46"/>
  </r>
  <r>
    <x v="9"/>
    <s v="Meat"/>
    <s v="Boneless Skinless Chicken Breast"/>
    <s v="lb"/>
    <n v="2.1"/>
    <n v="2.121"/>
    <n v="2.0499999999999998"/>
    <n v="4.3049999999999997"/>
    <n v="57"/>
    <n v="4"/>
    <n v="26"/>
    <n v="0.54385964912280704"/>
    <n v="31"/>
  </r>
  <r>
    <x v="9"/>
    <s v="Meat"/>
    <s v="Chicken Thighs (bone-in)"/>
    <s v="lb"/>
    <n v="1"/>
    <n v="1.01"/>
    <n v="2.0700000000000003"/>
    <n v="2.0700000000000003"/>
    <n v="32"/>
    <n v="0"/>
    <n v="21"/>
    <n v="0.34375"/>
    <n v="11"/>
  </r>
  <r>
    <x v="9"/>
    <s v="Meat"/>
    <s v="Whole Chicken"/>
    <s v="lb"/>
    <n v="0.9"/>
    <n v="0.90900000000000003"/>
    <n v="2.0700000000000003"/>
    <n v="1.8630000000000002"/>
    <n v="50"/>
    <n v="2"/>
    <n v="36"/>
    <n v="0.28000000000000003"/>
    <n v="14"/>
  </r>
  <r>
    <x v="9"/>
    <s v="Meat"/>
    <s v="Pork Chops (bone-in)"/>
    <s v="lb"/>
    <n v="1.9"/>
    <n v="1.9189999999999998"/>
    <n v="2.0700000000000003"/>
    <n v="3.9330000000000003"/>
    <n v="66"/>
    <n v="2"/>
    <n v="26"/>
    <n v="0.60606060606060608"/>
    <n v="40"/>
  </r>
  <r>
    <x v="9"/>
    <s v="Meat"/>
    <s v="Pork Shoulder (Boston Butt)"/>
    <s v="lb"/>
    <n v="1.3"/>
    <n v="1.3130000000000002"/>
    <n v="2"/>
    <n v="2.6"/>
    <n v="71"/>
    <n v="3"/>
    <n v="66"/>
    <n v="7.0422535211267609E-2"/>
    <n v="5"/>
  </r>
  <r>
    <x v="9"/>
    <s v="Meat"/>
    <s v="Bacon (Regular Cut)"/>
    <s v="lb"/>
    <n v="4"/>
    <n v="4.04"/>
    <n v="2.0700000000000003"/>
    <n v="8.2800000000000011"/>
    <n v="75"/>
    <n v="0"/>
    <n v="12"/>
    <n v="0.84"/>
    <n v="63"/>
  </r>
  <r>
    <x v="9"/>
    <s v="Meat"/>
    <s v="Breakfast Sausage (bulk)"/>
    <s v="lb"/>
    <n v="2.2000000000000002"/>
    <n v="2.2220000000000004"/>
    <n v="2.09"/>
    <n v="4.5979999999999999"/>
    <n v="34"/>
    <n v="1"/>
    <n v="9"/>
    <n v="0.73529411764705888"/>
    <n v="25"/>
  </r>
  <r>
    <x v="9"/>
    <s v="Meat"/>
    <s v="Italian Sausage (links)"/>
    <s v="lb"/>
    <n v="2.75"/>
    <n v="2.7774999999999999"/>
    <n v="2.1"/>
    <n v="5.7750000000000004"/>
    <n v="48"/>
    <n v="3"/>
    <n v="35"/>
    <n v="0.27083333333333331"/>
    <n v="13"/>
  </r>
  <r>
    <x v="9"/>
    <s v="Meat"/>
    <s v="Beef Chuck Roast"/>
    <s v="lb"/>
    <n v="3.5"/>
    <n v="3.5350000000000001"/>
    <n v="1.97"/>
    <n v="6.8949999999999996"/>
    <n v="27"/>
    <n v="0"/>
    <n v="8"/>
    <n v="0.70370370370370372"/>
    <n v="19"/>
  </r>
  <r>
    <x v="9"/>
    <s v="Meat"/>
    <s v="Beef Ribeye Steak (Boneless)"/>
    <s v="lb"/>
    <n v="8"/>
    <n v="8.08"/>
    <n v="2.02"/>
    <n v="16.16"/>
    <n v="24"/>
    <n v="3"/>
    <n v="21"/>
    <n v="0.125"/>
    <n v="3"/>
  </r>
  <r>
    <x v="9"/>
    <s v="Meat"/>
    <s v="New York Strip Steak"/>
    <s v="lb"/>
    <n v="7"/>
    <n v="7.07"/>
    <n v="2.1"/>
    <n v="14.700000000000001"/>
    <n v="48"/>
    <n v="4"/>
    <n v="26"/>
    <n v="0.45833333333333331"/>
    <n v="22"/>
  </r>
  <r>
    <x v="9"/>
    <s v="Meat"/>
    <s v="Chicken Wings"/>
    <s v="lb"/>
    <n v="1.8"/>
    <n v="1.8180000000000001"/>
    <n v="2"/>
    <n v="3.6"/>
    <n v="66"/>
    <n v="9"/>
    <n v="33"/>
    <n v="0.5"/>
    <n v="33"/>
  </r>
  <r>
    <x v="9"/>
    <s v="Meat"/>
    <s v="Lamb Chops"/>
    <s v="lb"/>
    <n v="9"/>
    <n v="9.09"/>
    <n v="1.95"/>
    <n v="17.55"/>
    <n v="87"/>
    <n v="0"/>
    <n v="0"/>
    <n v="1"/>
    <n v="87"/>
  </r>
  <r>
    <x v="9"/>
    <s v="Meat"/>
    <s v="Turkey (whole, frozen)"/>
    <s v="lb"/>
    <n v="0.95"/>
    <n v="0.95949999999999991"/>
    <n v="2.0499999999999998"/>
    <n v="1.9474999999999998"/>
    <n v="95"/>
    <n v="5"/>
    <n v="31"/>
    <n v="0.67368421052631577"/>
    <n v="64"/>
  </r>
  <r>
    <x v="9"/>
    <s v="Meat"/>
    <s v="Ham (bone-in, smoked)"/>
    <s v="lb"/>
    <n v="1.85"/>
    <n v="1.8685"/>
    <n v="2.09"/>
    <n v="3.8664999999999998"/>
    <n v="64"/>
    <n v="2"/>
    <n v="24"/>
    <n v="0.625"/>
    <n v="40"/>
  </r>
  <r>
    <x v="9"/>
    <s v="Meat"/>
    <s v="Deli Turkey Breast (sliced)"/>
    <s v="lb"/>
    <n v="5.5"/>
    <n v="5.5549999999999997"/>
    <n v="2.09"/>
    <n v="11.494999999999999"/>
    <n v="21"/>
    <n v="1"/>
    <n v="6"/>
    <n v="0.7142857142857143"/>
    <n v="15"/>
  </r>
  <r>
    <x v="9"/>
    <s v="Meat"/>
    <s v="Hot Dogs (beef, standard pack)"/>
    <s v="lb"/>
    <n v="1.9"/>
    <n v="1.9189999999999998"/>
    <n v="2"/>
    <n v="3.8"/>
    <n v="46"/>
    <n v="0"/>
    <n v="2"/>
    <n v="0.95652173913043481"/>
    <n v="44"/>
  </r>
  <r>
    <x v="9"/>
    <s v="Meat"/>
    <s v="Meatballs (pre-cooked)"/>
    <s v="lb"/>
    <n v="2.75"/>
    <n v="2.7774999999999999"/>
    <n v="2.0099999999999998"/>
    <n v="5.5274999999999999"/>
    <n v="55"/>
    <n v="4"/>
    <n v="19"/>
    <n v="0.65454545454545454"/>
    <n v="36"/>
  </r>
  <r>
    <x v="9"/>
    <s v="Frozen"/>
    <s v="Frozen Pizza (12”)"/>
    <s v="each"/>
    <n v="3.25"/>
    <n v="3.2825000000000002"/>
    <n v="2.0499999999999998"/>
    <n v="6.6624999999999996"/>
    <n v="85"/>
    <n v="0"/>
    <n v="19"/>
    <n v="0.77647058823529413"/>
    <n v="66"/>
  </r>
  <r>
    <x v="9"/>
    <s v="Frozen"/>
    <s v="Frozen Mixed Vegetables (16 oz)"/>
    <s v="each"/>
    <n v="0.9"/>
    <n v="0.90900000000000003"/>
    <n v="1.96"/>
    <n v="1.764"/>
    <n v="75"/>
    <n v="1"/>
    <n v="34"/>
    <n v="0.54666666666666663"/>
    <n v="41"/>
  </r>
  <r>
    <x v="9"/>
    <s v="Frozen"/>
    <s v="Frozen French Fries (32 oz)"/>
    <s v="each"/>
    <n v="1.6"/>
    <n v="1.6160000000000001"/>
    <n v="2.02"/>
    <n v="3.2320000000000002"/>
    <n v="92"/>
    <n v="0"/>
    <n v="90"/>
    <n v="2.1739130434782608E-2"/>
    <n v="2"/>
  </r>
  <r>
    <x v="9"/>
    <s v="Frozen"/>
    <s v="Frozen Broccoli Florets (16 oz)"/>
    <s v="each"/>
    <n v="1.1000000000000001"/>
    <n v="1.1110000000000002"/>
    <n v="2.02"/>
    <n v="2.2220000000000004"/>
    <n v="76"/>
    <n v="5"/>
    <n v="16"/>
    <n v="0.78947368421052633"/>
    <n v="60"/>
  </r>
  <r>
    <x v="9"/>
    <s v="Frozen"/>
    <s v="Frozen Corn (16 oz)"/>
    <s v="each"/>
    <n v="0.95"/>
    <n v="0.95949999999999991"/>
    <n v="2.0499999999999998"/>
    <n v="1.9474999999999998"/>
    <n v="118"/>
    <n v="4"/>
    <n v="17"/>
    <n v="0.85593220338983056"/>
    <n v="101"/>
  </r>
  <r>
    <x v="9"/>
    <s v="Frozen"/>
    <s v="Ice Cream (1.5 qt)"/>
    <s v="each"/>
    <n v="2.75"/>
    <n v="2.7774999999999999"/>
    <n v="2.0099999999999998"/>
    <n v="5.5274999999999999"/>
    <n v="69"/>
    <n v="4"/>
    <n v="44"/>
    <n v="0.36231884057971014"/>
    <n v="25"/>
  </r>
  <r>
    <x v="9"/>
    <s v="Frozen"/>
    <s v="Ice Cream Sandwiches (box of 6)"/>
    <s v="each"/>
    <n v="1.9"/>
    <n v="1.9189999999999998"/>
    <n v="2.04"/>
    <n v="3.8759999999999999"/>
    <n v="60"/>
    <n v="1"/>
    <n v="51"/>
    <n v="0.15"/>
    <n v="9"/>
  </r>
  <r>
    <x v="9"/>
    <s v="Frozen"/>
    <s v="Frozen Chicken Nuggets (32 oz)"/>
    <s v="each"/>
    <n v="4"/>
    <n v="4.04"/>
    <n v="2.0099999999999998"/>
    <n v="8.0399999999999991"/>
    <n v="123"/>
    <n v="0"/>
    <n v="92"/>
    <n v="0.25203252032520324"/>
    <n v="31"/>
  </r>
  <r>
    <x v="9"/>
    <s v="Frozen"/>
    <s v="Frozen Burritos (individual)"/>
    <s v="each"/>
    <n v="0.8"/>
    <n v="0.80800000000000005"/>
    <n v="1.98"/>
    <n v="1.5840000000000001"/>
    <n v="153"/>
    <n v="3"/>
    <n v="90"/>
    <n v="0.41176470588235292"/>
    <n v="63"/>
  </r>
  <r>
    <x v="9"/>
    <s v="Frozen"/>
    <s v="Frozen Meatballs (26 oz bag)"/>
    <s v="each"/>
    <n v="4.25"/>
    <n v="4.2925000000000004"/>
    <n v="2.0700000000000003"/>
    <n v="8.7975000000000012"/>
    <n v="87"/>
    <n v="2"/>
    <n v="81"/>
    <n v="6.8965517241379309E-2"/>
    <n v="6"/>
  </r>
  <r>
    <x v="9"/>
    <s v="Frozen"/>
    <s v="Frozen Waffles (box of 10)"/>
    <s v="each"/>
    <n v="1.6"/>
    <n v="1.6160000000000001"/>
    <n v="2.0300000000000002"/>
    <n v="3.2480000000000007"/>
    <n v="55"/>
    <n v="0"/>
    <n v="3"/>
    <n v="0.94545454545454544"/>
    <n v="52"/>
  </r>
  <r>
    <x v="9"/>
    <s v="Frozen"/>
    <s v="Frozen Pancakes (box of 12)"/>
    <s v="each"/>
    <n v="1.65"/>
    <n v="1.6664999999999999"/>
    <n v="2.1"/>
    <n v="3.4649999999999999"/>
    <n v="121"/>
    <n v="3"/>
    <n v="64"/>
    <n v="0.47107438016528924"/>
    <n v="57"/>
  </r>
  <r>
    <x v="9"/>
    <s v="Frozen"/>
    <s v="TV Dinner / Meal (10–12 oz)"/>
    <s v="each"/>
    <n v="2.2000000000000002"/>
    <n v="2.2220000000000004"/>
    <n v="2.09"/>
    <n v="4.5979999999999999"/>
    <n v="72"/>
    <n v="10"/>
    <n v="49"/>
    <n v="0.31944444444444442"/>
    <n v="23"/>
  </r>
  <r>
    <x v="9"/>
    <s v="Frozen"/>
    <s v="Frozen Fish Fillets (breaded, 24 oz)"/>
    <s v="each"/>
    <n v="4"/>
    <n v="4.04"/>
    <n v="1.99"/>
    <n v="7.96"/>
    <n v="96"/>
    <n v="4"/>
    <n v="0"/>
    <n v="1"/>
    <n v="96"/>
  </r>
  <r>
    <x v="9"/>
    <s v="Frozen"/>
    <s v="Frozen Shrimp (raw, peeled, 1 lb)"/>
    <s v="each"/>
    <n v="5.25"/>
    <n v="5.3025000000000002"/>
    <n v="1.96"/>
    <n v="10.29"/>
    <n v="139"/>
    <n v="4"/>
    <n v="57"/>
    <n v="0.58992805755395683"/>
    <n v="82"/>
  </r>
  <r>
    <x v="9"/>
    <s v="Frozen"/>
    <s v="Frozen Fruit (Strawberries, 16 oz)"/>
    <s v="each"/>
    <n v="2"/>
    <n v="2.02"/>
    <n v="2.02"/>
    <n v="4.04"/>
    <n v="95"/>
    <n v="8"/>
    <n v="25"/>
    <n v="0.73684210526315785"/>
    <n v="70"/>
  </r>
  <r>
    <x v="9"/>
    <s v="Frozen"/>
    <s v="Frozen Pie (apple, 8”)"/>
    <s v="each"/>
    <n v="2.8"/>
    <n v="2.8279999999999998"/>
    <n v="1.95"/>
    <n v="5.46"/>
    <n v="156"/>
    <n v="0"/>
    <n v="108"/>
    <n v="0.30769230769230771"/>
    <n v="48"/>
  </r>
  <r>
    <x v="9"/>
    <s v="Frozen"/>
    <s v="Frozen Garlic Bread (16 oz)"/>
    <s v="each"/>
    <n v="1.35"/>
    <n v="1.3635000000000002"/>
    <n v="2.09"/>
    <n v="2.8214999999999999"/>
    <n v="61"/>
    <n v="2"/>
    <n v="19"/>
    <n v="0.68852459016393441"/>
    <n v="42"/>
  </r>
  <r>
    <x v="9"/>
    <s v="Frozen"/>
    <s v="Frozen Breakfast Sandwich (2-pack)"/>
    <s v="each"/>
    <n v="2.25"/>
    <n v="2.2725"/>
    <n v="2.0700000000000003"/>
    <n v="4.6575000000000006"/>
    <n v="139"/>
    <n v="9"/>
    <n v="115"/>
    <n v="0.17266187050359713"/>
    <n v="24"/>
  </r>
  <r>
    <x v="9"/>
    <s v="Frozen"/>
    <s v="Frozen Veggie Burgers (4-pack)"/>
    <s v="each"/>
    <n v="2.8"/>
    <n v="2.8279999999999998"/>
    <n v="2.0700000000000003"/>
    <n v="5.7960000000000003"/>
    <n v="62"/>
    <n v="0"/>
    <n v="22"/>
    <n v="0.64516129032258063"/>
    <n v="40"/>
  </r>
  <r>
    <x v="9"/>
    <s v="Deli"/>
    <s v="Sliced Turkey Breast"/>
    <s v="lb"/>
    <n v="5.25"/>
    <n v="5.3025000000000002"/>
    <n v="1.97"/>
    <n v="10.342499999999999"/>
    <n v="91"/>
    <n v="4"/>
    <n v="9"/>
    <n v="0.90109890109890112"/>
    <n v="82"/>
  </r>
  <r>
    <x v="9"/>
    <s v="Deli"/>
    <s v="Sliced Ham (Honey or Black Forest)"/>
    <s v="lb"/>
    <n v="4.75"/>
    <n v="4.7975000000000003"/>
    <n v="1.99"/>
    <n v="9.4525000000000006"/>
    <n v="111"/>
    <n v="2"/>
    <n v="58"/>
    <n v="0.47747747747747749"/>
    <n v="53"/>
  </r>
  <r>
    <x v="9"/>
    <s v="Deli"/>
    <s v="Roast Beef (sliced)"/>
    <s v="lb"/>
    <n v="6.5"/>
    <n v="6.5650000000000004"/>
    <n v="1.97"/>
    <n v="12.805"/>
    <n v="118"/>
    <n v="2"/>
    <n v="74"/>
    <n v="0.3728813559322034"/>
    <n v="44"/>
  </r>
  <r>
    <x v="9"/>
    <s v="Deli"/>
    <s v="Genoa Salami"/>
    <s v="lb"/>
    <n v="5.75"/>
    <n v="5.8075000000000001"/>
    <n v="2.08"/>
    <n v="11.96"/>
    <n v="89"/>
    <n v="3"/>
    <n v="40"/>
    <n v="0.550561797752809"/>
    <n v="49"/>
  </r>
  <r>
    <x v="9"/>
    <s v="Deli"/>
    <s v="Hard Salami"/>
    <s v="lb"/>
    <n v="5.5"/>
    <n v="5.5549999999999997"/>
    <n v="1.99"/>
    <n v="10.945"/>
    <n v="72"/>
    <n v="7"/>
    <n v="4"/>
    <n v="0.94444444444444442"/>
    <n v="68"/>
  </r>
  <r>
    <x v="9"/>
    <s v="Deli"/>
    <s v="Pepperoni (sliced)"/>
    <s v="lb"/>
    <n v="4.25"/>
    <n v="4.2925000000000004"/>
    <n v="2.1"/>
    <n v="8.9250000000000007"/>
    <n v="105"/>
    <n v="5"/>
    <n v="64"/>
    <n v="0.39047619047619048"/>
    <n v="41"/>
  </r>
  <r>
    <x v="9"/>
    <s v="Deli"/>
    <s v="Chicken Breast (sliced)"/>
    <s v="lb"/>
    <n v="5.0999999999999996"/>
    <n v="5.1509999999999998"/>
    <n v="2.0099999999999998"/>
    <n v="10.250999999999998"/>
    <n v="97"/>
    <n v="0"/>
    <n v="16"/>
    <n v="0.83505154639175261"/>
    <n v="81"/>
  </r>
  <r>
    <x v="9"/>
    <s v="Deli"/>
    <s v="Bologna"/>
    <s v="lb"/>
    <n v="2.8"/>
    <n v="2.8279999999999998"/>
    <n v="1.99"/>
    <n v="5.5720000000000001"/>
    <n v="34"/>
    <n v="6"/>
    <n v="21"/>
    <n v="0.38235294117647056"/>
    <n v="13"/>
  </r>
  <r>
    <x v="9"/>
    <s v="Deli"/>
    <s v="Mortadella"/>
    <s v="lb"/>
    <n v="4"/>
    <n v="4.04"/>
    <n v="2.0300000000000002"/>
    <n v="8.120000000000001"/>
    <n v="66"/>
    <n v="0"/>
    <n v="40"/>
    <n v="0.39393939393939392"/>
    <n v="26"/>
  </r>
  <r>
    <x v="9"/>
    <s v="Deli"/>
    <s v="Prosciutto"/>
    <s v="lb"/>
    <n v="9"/>
    <n v="9.09"/>
    <n v="2.1"/>
    <n v="18.900000000000002"/>
    <n v="101"/>
    <n v="1"/>
    <n v="92"/>
    <n v="8.9108910891089105E-2"/>
    <n v="9"/>
  </r>
  <r>
    <x v="9"/>
    <s v="Deli"/>
    <s v="American Cheese (processed)"/>
    <s v="lb"/>
    <n v="2.75"/>
    <n v="2.7774999999999999"/>
    <n v="1.95"/>
    <n v="5.3624999999999998"/>
    <n v="60"/>
    <n v="2"/>
    <n v="3"/>
    <n v="0.95"/>
    <n v="57"/>
  </r>
  <r>
    <x v="9"/>
    <s v="Deli"/>
    <s v="Cheddar Cheese (sharp)"/>
    <s v="lb"/>
    <n v="3.9"/>
    <n v="3.9390000000000001"/>
    <n v="2.08"/>
    <n v="8.1120000000000001"/>
    <n v="38"/>
    <n v="2"/>
    <n v="4"/>
    <n v="0.89473684210526316"/>
    <n v="34"/>
  </r>
  <r>
    <x v="9"/>
    <s v="Deli"/>
    <s v="Swiss Cheese"/>
    <s v="lb"/>
    <n v="4.3"/>
    <n v="4.343"/>
    <n v="2.09"/>
    <n v="8.9869999999999983"/>
    <n v="80"/>
    <n v="1"/>
    <n v="10"/>
    <n v="0.875"/>
    <n v="70"/>
  </r>
  <r>
    <x v="9"/>
    <s v="Deli"/>
    <s v="Provolone Cheese"/>
    <s v="lb"/>
    <n v="4"/>
    <n v="4.04"/>
    <n v="2"/>
    <n v="8"/>
    <n v="58"/>
    <n v="7"/>
    <n v="50"/>
    <n v="0.13793103448275862"/>
    <n v="8"/>
  </r>
  <r>
    <x v="9"/>
    <s v="Deli"/>
    <s v="Mozzarella (fresh, sliced)"/>
    <s v="lb"/>
    <n v="4.75"/>
    <n v="4.7975000000000003"/>
    <n v="1.99"/>
    <n v="9.4525000000000006"/>
    <n v="107"/>
    <n v="4"/>
    <n v="20"/>
    <n v="0.81308411214953269"/>
    <n v="87"/>
  </r>
  <r>
    <x v="9"/>
    <s v="Deli"/>
    <s v="Coleslaw (prepared)"/>
    <s v="lb"/>
    <n v="2.25"/>
    <n v="2.2725"/>
    <n v="2.0300000000000002"/>
    <n v="4.5675000000000008"/>
    <n v="69"/>
    <n v="3"/>
    <n v="25"/>
    <n v="0.6376811594202898"/>
    <n v="44"/>
  </r>
  <r>
    <x v="9"/>
    <s v="Deli"/>
    <s v="Potato Salad (prepared)"/>
    <s v="lb"/>
    <n v="2.1"/>
    <n v="2.121"/>
    <n v="2.0700000000000003"/>
    <n v="4.3470000000000004"/>
    <n v="70"/>
    <n v="0"/>
    <n v="18"/>
    <n v="0.74285714285714288"/>
    <n v="52"/>
  </r>
  <r>
    <x v="9"/>
    <s v="Deli"/>
    <s v="Macaroni Salad"/>
    <s v="lb"/>
    <n v="2"/>
    <n v="2.02"/>
    <n v="2.06"/>
    <n v="4.12"/>
    <n v="115"/>
    <n v="7"/>
    <n v="108"/>
    <n v="6.0869565217391307E-2"/>
    <n v="7"/>
  </r>
  <r>
    <x v="9"/>
    <s v="Deli"/>
    <s v="Rotisserie Chicken (whole)"/>
    <s v="each"/>
    <n v="4.5"/>
    <n v="4.5449999999999999"/>
    <n v="2.1"/>
    <n v="9.4500000000000011"/>
    <n v="40"/>
    <n v="7"/>
    <n v="6"/>
    <n v="0.85"/>
    <n v="34"/>
  </r>
  <r>
    <x v="9"/>
    <s v="Deli"/>
    <s v="Deli Sandwich (made to order)"/>
    <s v="each"/>
    <n v="3.75"/>
    <n v="3.7875000000000001"/>
    <n v="2.02"/>
    <n v="7.5750000000000002"/>
    <n v="52"/>
    <n v="5"/>
    <n v="46"/>
    <n v="0.11538461538461539"/>
    <n v="6"/>
  </r>
  <r>
    <x v="9"/>
    <s v="Dairy"/>
    <s v="Whole Milk (1 gallon)"/>
    <s v="each"/>
    <n v="2"/>
    <n v="2.02"/>
    <n v="1.99"/>
    <n v="3.98"/>
    <n v="60"/>
    <n v="0"/>
    <n v="54"/>
    <n v="0.1"/>
    <n v="6"/>
  </r>
  <r>
    <x v="9"/>
    <s v="Dairy"/>
    <s v="2% Milk (1 gallon)"/>
    <s v="each"/>
    <n v="1.95"/>
    <n v="1.9695"/>
    <n v="2.0300000000000002"/>
    <n v="3.9585000000000004"/>
    <n v="105"/>
    <n v="0"/>
    <n v="70"/>
    <n v="0.33333333333333331"/>
    <n v="35"/>
  </r>
  <r>
    <x v="9"/>
    <s v="Dairy"/>
    <s v="Skim Milk (1 gallon)"/>
    <s v="each"/>
    <n v="1.9"/>
    <n v="1.9189999999999998"/>
    <n v="1.99"/>
    <n v="3.7809999999999997"/>
    <n v="160"/>
    <n v="0"/>
    <n v="153"/>
    <n v="4.3749999999999997E-2"/>
    <n v="7"/>
  </r>
  <r>
    <x v="9"/>
    <s v="Dairy"/>
    <s v="Organic Milk (1/2 gallon)"/>
    <s v="each"/>
    <n v="3.1"/>
    <n v="3.1310000000000002"/>
    <n v="2.06"/>
    <n v="6.3860000000000001"/>
    <n v="80"/>
    <n v="0"/>
    <n v="39"/>
    <n v="0.51249999999999996"/>
    <n v="41"/>
  </r>
  <r>
    <x v="9"/>
    <s v="Dairy"/>
    <s v="Heavy Whipping Cream (pint)"/>
    <s v="each"/>
    <n v="2"/>
    <n v="2.02"/>
    <n v="2.0700000000000003"/>
    <n v="4.1400000000000006"/>
    <n v="149"/>
    <n v="1"/>
    <n v="132"/>
    <n v="0.11409395973154363"/>
    <n v="17"/>
  </r>
  <r>
    <x v="9"/>
    <s v="Dairy"/>
    <s v="Half &amp; Half (quart)"/>
    <s v="each"/>
    <n v="1.7"/>
    <n v="1.7169999999999999"/>
    <n v="1.97"/>
    <n v="3.3489999999999998"/>
    <n v="169"/>
    <n v="7"/>
    <n v="148"/>
    <n v="0.1242603550295858"/>
    <n v="21"/>
  </r>
  <r>
    <x v="9"/>
    <s v="Dairy"/>
    <s v="Buttermilk (quart)"/>
    <s v="each"/>
    <n v="1.5"/>
    <n v="1.5150000000000001"/>
    <n v="2.0700000000000003"/>
    <n v="3.1050000000000004"/>
    <n v="95"/>
    <n v="2"/>
    <n v="77"/>
    <n v="0.18947368421052632"/>
    <n v="18"/>
  </r>
  <r>
    <x v="9"/>
    <s v="Dairy"/>
    <s v="Butter (salted, 1 lb)"/>
    <s v="each"/>
    <n v="2.65"/>
    <n v="2.6764999999999999"/>
    <n v="2.04"/>
    <n v="5.4059999999999997"/>
    <n v="113"/>
    <n v="0"/>
    <n v="3"/>
    <n v="0.97345132743362828"/>
    <n v="110"/>
  </r>
  <r>
    <x v="9"/>
    <s v="Dairy"/>
    <s v="Margarine (1 lb)"/>
    <s v="each"/>
    <n v="1.2"/>
    <n v="1.212"/>
    <n v="2.02"/>
    <n v="2.4239999999999999"/>
    <n v="146"/>
    <n v="1"/>
    <n v="22"/>
    <n v="0.84931506849315064"/>
    <n v="124"/>
  </r>
  <r>
    <x v="9"/>
    <s v="Dairy"/>
    <s v="Sour Cream (16 oz)"/>
    <s v="each"/>
    <n v="1.4"/>
    <n v="1.4139999999999999"/>
    <n v="1.97"/>
    <n v="2.758"/>
    <n v="116"/>
    <n v="0"/>
    <n v="105"/>
    <n v="9.4827586206896547E-2"/>
    <n v="11"/>
  </r>
  <r>
    <x v="9"/>
    <s v="Dairy"/>
    <s v="Cottage Cheese (16 oz)"/>
    <s v="each"/>
    <n v="1.6"/>
    <n v="1.6160000000000001"/>
    <n v="1.95"/>
    <n v="3.12"/>
    <n v="60"/>
    <n v="0"/>
    <n v="19"/>
    <n v="0.68333333333333335"/>
    <n v="41"/>
  </r>
  <r>
    <x v="9"/>
    <s v="Dairy"/>
    <s v="Greek Yogurt (single 5.3 oz cup)"/>
    <s v="each"/>
    <n v="0.7"/>
    <n v="0.70699999999999996"/>
    <n v="1.97"/>
    <n v="1.379"/>
    <n v="122"/>
    <n v="1"/>
    <n v="14"/>
    <n v="0.88524590163934425"/>
    <n v="108"/>
  </r>
  <r>
    <x v="9"/>
    <s v="Dairy"/>
    <s v="Yogurt (regular, 6 oz)"/>
    <s v="each"/>
    <n v="0.55000000000000004"/>
    <n v="0.5555000000000001"/>
    <n v="2"/>
    <n v="1.1000000000000001"/>
    <n v="113"/>
    <n v="1"/>
    <n v="108"/>
    <n v="4.4247787610619468E-2"/>
    <n v="5"/>
  </r>
  <r>
    <x v="9"/>
    <s v="Dairy"/>
    <s v="Cream Cheese (8 oz block)"/>
    <s v="each"/>
    <n v="1.4"/>
    <n v="1.4139999999999999"/>
    <n v="2.09"/>
    <n v="2.9259999999999997"/>
    <n v="114"/>
    <n v="5"/>
    <n v="92"/>
    <n v="0.19298245614035087"/>
    <n v="22"/>
  </r>
  <r>
    <x v="9"/>
    <s v="Dairy"/>
    <s v="Shredded Cheese (8 oz bag)"/>
    <s v="each"/>
    <n v="2"/>
    <n v="2.02"/>
    <n v="2"/>
    <n v="4"/>
    <n v="174"/>
    <n v="9"/>
    <n v="135"/>
    <n v="0.22413793103448276"/>
    <n v="39"/>
  </r>
  <r>
    <x v="9"/>
    <s v="Dairy"/>
    <s v="Sliced Cheese (8 oz)"/>
    <s v="each"/>
    <n v="2.25"/>
    <n v="2.2725"/>
    <n v="2.0499999999999998"/>
    <n v="4.6124999999999998"/>
    <n v="99"/>
    <n v="1"/>
    <n v="40"/>
    <n v="0.59595959595959591"/>
    <n v="59"/>
  </r>
  <r>
    <x v="9"/>
    <s v="Dairy"/>
    <s v="Cheddar Cheese Block (1 lb)"/>
    <s v="each"/>
    <n v="3.4"/>
    <n v="3.4339999999999997"/>
    <n v="2"/>
    <n v="6.8"/>
    <n v="74"/>
    <n v="1"/>
    <n v="18"/>
    <n v="0.7567567567567568"/>
    <n v="56"/>
  </r>
  <r>
    <x v="9"/>
    <s v="Dairy"/>
    <s v="Mozzarella (low moisture, 1 lb)"/>
    <s v="each"/>
    <n v="3.1"/>
    <n v="3.1310000000000002"/>
    <n v="2.02"/>
    <n v="6.2620000000000005"/>
    <n v="80"/>
    <n v="5"/>
    <n v="45"/>
    <n v="0.4375"/>
    <n v="35"/>
  </r>
  <r>
    <x v="9"/>
    <s v="Dairy"/>
    <s v="Eggs (dozen, large, Grade A)"/>
    <s v="each"/>
    <n v="1.5"/>
    <n v="1.5150000000000001"/>
    <n v="2.04"/>
    <n v="3.06"/>
    <n v="106"/>
    <n v="1"/>
    <n v="27"/>
    <n v="0.74528301886792447"/>
    <n v="79"/>
  </r>
  <r>
    <x v="9"/>
    <s v="Dairy"/>
    <s v="Egg Substitute (16 oz carton)"/>
    <s v="each"/>
    <n v="1.9"/>
    <n v="1.9189999999999998"/>
    <n v="1.97"/>
    <n v="3.7429999999999999"/>
    <n v="132"/>
    <n v="0"/>
    <n v="67"/>
    <n v="0.49242424242424243"/>
    <n v="65"/>
  </r>
  <r>
    <x v="9"/>
    <s v="Bakery"/>
    <s v="White Sandwich Bread (loaf)"/>
    <s v="each"/>
    <n v="1.3"/>
    <n v="1.3130000000000002"/>
    <n v="2.02"/>
    <n v="2.6260000000000003"/>
    <n v="92"/>
    <n v="6"/>
    <n v="14"/>
    <n v="0.84782608695652173"/>
    <n v="78"/>
  </r>
  <r>
    <x v="9"/>
    <s v="Bakery"/>
    <s v="Whole Wheat Bread (loaf)"/>
    <s v="each"/>
    <n v="1.6"/>
    <n v="1.6160000000000001"/>
    <n v="1.97"/>
    <n v="3.1520000000000001"/>
    <n v="48"/>
    <n v="0"/>
    <n v="34"/>
    <n v="0.29166666666666669"/>
    <n v="14"/>
  </r>
  <r>
    <x v="9"/>
    <s v="Bakery"/>
    <s v="French Baguette"/>
    <s v="each"/>
    <n v="1.35"/>
    <n v="1.3635000000000002"/>
    <n v="1.98"/>
    <n v="2.673"/>
    <n v="113"/>
    <n v="3"/>
    <n v="36"/>
    <n v="0.68141592920353977"/>
    <n v="77"/>
  </r>
  <r>
    <x v="9"/>
    <s v="Bakery"/>
    <s v="Italian Bread (loaf)"/>
    <s v="each"/>
    <n v="1.6"/>
    <n v="1.6160000000000001"/>
    <n v="1.97"/>
    <n v="3.1520000000000001"/>
    <n v="91"/>
    <n v="2"/>
    <n v="0"/>
    <n v="1"/>
    <n v="91"/>
  </r>
  <r>
    <x v="9"/>
    <s v="Bakery"/>
    <s v="Dinner Rolls (12-pack)"/>
    <s v="each"/>
    <n v="2.1"/>
    <n v="2.121"/>
    <n v="2.1"/>
    <n v="4.41"/>
    <n v="96"/>
    <n v="1"/>
    <n v="66"/>
    <n v="0.3125"/>
    <n v="30"/>
  </r>
  <r>
    <x v="9"/>
    <s v="Bakery"/>
    <s v="Kaiser Rolls (6-pack)"/>
    <s v="each"/>
    <n v="1.85"/>
    <n v="1.8685"/>
    <n v="2.0700000000000003"/>
    <n v="3.8295000000000008"/>
    <n v="65"/>
    <n v="1"/>
    <n v="23"/>
    <n v="0.64615384615384619"/>
    <n v="42"/>
  </r>
  <r>
    <x v="9"/>
    <s v="Bakery"/>
    <s v="Hamburger Buns (8-pack)"/>
    <s v="each"/>
    <n v="1.55"/>
    <n v="1.5655000000000001"/>
    <n v="1.95"/>
    <n v="3.0225"/>
    <n v="80"/>
    <n v="4"/>
    <n v="26"/>
    <n v="0.67500000000000004"/>
    <n v="54"/>
  </r>
  <r>
    <x v="9"/>
    <s v="Bakery"/>
    <s v="Hot Dog Buns (8-pack)"/>
    <s v="each"/>
    <n v="1.55"/>
    <n v="1.5655000000000001"/>
    <n v="2.04"/>
    <n v="3.1620000000000004"/>
    <n v="74"/>
    <n v="0"/>
    <n v="39"/>
    <n v="0.47297297297297297"/>
    <n v="35"/>
  </r>
  <r>
    <x v="9"/>
    <s v="Bakery"/>
    <s v="English Muffins (6-pack)"/>
    <s v="each"/>
    <n v="1.75"/>
    <n v="1.7675000000000001"/>
    <n v="2.08"/>
    <n v="3.64"/>
    <n v="102"/>
    <n v="0"/>
    <n v="62"/>
    <n v="0.39215686274509803"/>
    <n v="40"/>
  </r>
  <r>
    <x v="9"/>
    <s v="Bakery"/>
    <s v="Bagels (6-pack)"/>
    <s v="each"/>
    <n v="2.2000000000000002"/>
    <n v="2.2220000000000004"/>
    <n v="2.09"/>
    <n v="4.5979999999999999"/>
    <n v="64"/>
    <n v="4"/>
    <n v="60"/>
    <n v="6.25E-2"/>
    <n v="4"/>
  </r>
  <r>
    <x v="9"/>
    <s v="Bakery"/>
    <s v="Croissants (4-pack)"/>
    <s v="each"/>
    <n v="2.75"/>
    <n v="2.7774999999999999"/>
    <n v="1.99"/>
    <n v="5.4725000000000001"/>
    <n v="129"/>
    <n v="2"/>
    <n v="35"/>
    <n v="0.72868217054263562"/>
    <n v="94"/>
  </r>
  <r>
    <x v="9"/>
    <s v="Bakery"/>
    <s v="Muffins (4-pack, assorted)"/>
    <s v="each"/>
    <n v="2.4"/>
    <n v="2.4239999999999999"/>
    <n v="2.0099999999999998"/>
    <n v="4.823999999999999"/>
    <n v="114"/>
    <n v="0"/>
    <n v="97"/>
    <n v="0.14912280701754385"/>
    <n v="17"/>
  </r>
  <r>
    <x v="9"/>
    <s v="Bakery"/>
    <s v="Donuts (6-pack, glazed)"/>
    <s v="each"/>
    <n v="2.7"/>
    <n v="2.7270000000000003"/>
    <n v="1.98"/>
    <n v="5.3460000000000001"/>
    <n v="77"/>
    <n v="6"/>
    <n v="23"/>
    <n v="0.70129870129870131"/>
    <n v="54"/>
  </r>
  <r>
    <x v="9"/>
    <s v="Bakery"/>
    <s v="Danish Pastries (4-pack)"/>
    <s v="each"/>
    <n v="2.6"/>
    <n v="2.6260000000000003"/>
    <n v="1.95"/>
    <n v="5.07"/>
    <n v="41"/>
    <n v="1"/>
    <n v="23"/>
    <n v="0.43902439024390244"/>
    <n v="18"/>
  </r>
  <r>
    <x v="9"/>
    <s v="Bakery"/>
    <s v="Apple Pie (9”)"/>
    <s v="each"/>
    <n v="4"/>
    <n v="4.04"/>
    <n v="2.0700000000000003"/>
    <n v="8.2800000000000011"/>
    <n v="46"/>
    <n v="5"/>
    <n v="41"/>
    <n v="0.10869565217391304"/>
    <n v="5"/>
  </r>
  <r>
    <x v="9"/>
    <s v="Bakery"/>
    <s v="Pumpkin Pie (9”)"/>
    <s v="each"/>
    <n v="4.25"/>
    <n v="4.2925000000000004"/>
    <n v="2.08"/>
    <n v="8.84"/>
    <n v="121"/>
    <n v="5"/>
    <n v="3"/>
    <n v="0.97520661157024791"/>
    <n v="118"/>
  </r>
  <r>
    <x v="9"/>
    <s v="Bakery"/>
    <s v="Chocolate Cake (single layer)"/>
    <s v="each"/>
    <n v="5"/>
    <n v="5.05"/>
    <n v="2.06"/>
    <n v="10.3"/>
    <n v="130"/>
    <n v="3"/>
    <n v="66"/>
    <n v="0.49230769230769234"/>
    <n v="64"/>
  </r>
  <r>
    <x v="9"/>
    <s v="Bakery"/>
    <s v="Cupcakes (6-pack)"/>
    <s v="each"/>
    <n v="3"/>
    <n v="3.0300000000000002"/>
    <n v="2.0300000000000002"/>
    <n v="6.0900000000000007"/>
    <n v="73"/>
    <n v="2"/>
    <n v="33"/>
    <n v="0.54794520547945202"/>
    <n v="40"/>
  </r>
  <r>
    <x v="9"/>
    <s v="Bakery"/>
    <s v="Brownies (6-pack)"/>
    <s v="each"/>
    <n v="2.4"/>
    <n v="2.4239999999999999"/>
    <n v="2.09"/>
    <n v="5.0159999999999991"/>
    <n v="130"/>
    <n v="9"/>
    <n v="56"/>
    <n v="0.56923076923076921"/>
    <n v="74"/>
  </r>
  <r>
    <x v="9"/>
    <s v="Bakery"/>
    <s v="Coffee Cake (whole)"/>
    <s v="each"/>
    <n v="3.25"/>
    <n v="3.2825000000000002"/>
    <n v="2"/>
    <n v="6.5"/>
    <n v="56"/>
    <n v="0"/>
    <n v="48"/>
    <n v="0.14285714285714285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0F5C2-ADFD-4FB8-BA2A-30C1895D47A6}" name="PivotTable1" cacheId="3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B13" firstHeaderRow="1" firstDataRow="1" firstDataCol="1"/>
  <pivotFields count="13">
    <pivotField axis="axisRow" compact="0" outline="0" showAll="0">
      <items count="11">
        <item x="9"/>
        <item x="5"/>
        <item x="4"/>
        <item x="7"/>
        <item x="1"/>
        <item x="8"/>
        <item x="3"/>
        <item x="2"/>
        <item x="0"/>
        <item x="6"/>
        <item t="default"/>
      </items>
    </pivotField>
    <pivotField compact="0" outline="0" showAll="0" sortType="descending"/>
    <pivotField compact="0" outline="0" showAll="0"/>
    <pivotField compact="0" outline="0" showAll="0"/>
    <pivotField compact="0" numFmtId="44" outline="0" showAll="0"/>
    <pivotField compact="0" numFmtId="44" outline="0" showAll="0"/>
    <pivotField compact="0" outline="0" showAll="0"/>
    <pivotField compact="0" numFmtId="44" outline="0" showAll="0"/>
    <pivotField compact="0" outline="0" showAll="0"/>
    <pivotField compact="0" outline="0" showAll="0"/>
    <pivotField compact="0" outline="0" showAll="0"/>
    <pivotField compact="0" numFmtId="9" outline="0" showAll="0"/>
    <pivotField dataField="1" compact="0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old" fld="12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F5E091B-F8EF-4642-91C5-A121B0F851D9}" name="tbl_City_Multi" displayName="tbl_City_Multi" ref="A2:D12" totalsRowShown="0" headerRowDxfId="40" dataDxfId="39">
  <autoFilter ref="A2:D12" xr:uid="{5F5E091B-F8EF-4642-91C5-A121B0F851D9}"/>
  <tableColumns count="4">
    <tableColumn id="1" xr3:uid="{F8D5037C-2AF2-44D0-A4E9-E29C0DD4E07D}" name="City" dataDxfId="38"/>
    <tableColumn id="2" xr3:uid="{FF4CF9FE-2759-4D69-B98C-9FD645732795}" name="Cost of Living Index" dataDxfId="37"/>
    <tableColumn id="3" xr3:uid="{54C9ED98-1A2B-40E6-AFE3-D3BDBD353C35}" name="Price Multiplier" dataDxfId="36"/>
    <tableColumn id="4" xr3:uid="{4CA8E32D-68E9-42D1-9E86-E348E58578CF}" name="Cost Multiplier" dataDxfId="3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9B05F89-DB32-4089-86F5-00E77670AF2F}" name="tbl_Produce" displayName="tbl_Produce" ref="A1:D21" totalsRowShown="0" headerRowDxfId="34">
  <autoFilter ref="A1:D21" xr:uid="{E9B05F89-DB32-4089-86F5-00E77670AF2F}"/>
  <tableColumns count="4">
    <tableColumn id="1" xr3:uid="{4B779BEC-7592-4225-A697-F27968A11889}" name="PRODUCE" dataDxfId="33"/>
    <tableColumn id="2" xr3:uid="{B2B74F82-6ADB-4ED0-9B83-B18F90CDFBB9}" name="UNITS" dataDxfId="32"/>
    <tableColumn id="3" xr3:uid="{FA690681-ABC9-49B7-9436-3403D4F05159}" name="PRICE" dataDxfId="31"/>
    <tableColumn id="4" xr3:uid="{E0D09F60-2B1A-45D2-9810-8E0454CCA0EC}" name="COST" dataDxfId="30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3FC3A76-0DE8-4B35-925E-0699CDCD5285}" name="tbl_Meat" displayName="tbl_Meat" ref="E1:H21" totalsRowShown="0" headerRowDxfId="29">
  <autoFilter ref="E1:H21" xr:uid="{23FC3A76-0DE8-4B35-925E-0699CDCD5285}"/>
  <tableColumns count="4">
    <tableColumn id="1" xr3:uid="{191B10EB-50B9-4F25-8662-99A8D2F2FBB3}" name="MEAT" dataDxfId="28"/>
    <tableColumn id="2" xr3:uid="{FE5D353E-33C5-4589-9A51-8434CC34F753}" name="UNITS" dataDxfId="27"/>
    <tableColumn id="3" xr3:uid="{6B1488C3-F617-4706-ADAB-6A1A06EF043F}" name="PRICE" dataDxfId="26"/>
    <tableColumn id="4" xr3:uid="{46E1E44E-F89C-42A0-9252-A39B1938BE69}" name="COST" dataDxfId="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FB9496C-8C12-4C97-B774-1795355F6517}" name="tbl_Deli" displayName="tbl_Deli" ref="I1:L21" totalsRowShown="0" headerRowDxfId="24">
  <autoFilter ref="I1:L21" xr:uid="{EFB9496C-8C12-4C97-B774-1795355F6517}"/>
  <tableColumns count="4">
    <tableColumn id="1" xr3:uid="{9ED382BC-3DBF-40E9-A119-7D4DD94278BE}" name="DELI" dataDxfId="23"/>
    <tableColumn id="2" xr3:uid="{8E632460-9141-479F-962C-F253BED41F19}" name="UNITS" dataDxfId="22"/>
    <tableColumn id="3" xr3:uid="{E6600345-EB6C-4C35-9635-5D19B55BD9FC}" name="PRICE" dataDxfId="21"/>
    <tableColumn id="4" xr3:uid="{2485E06D-5F50-442F-9F6F-F51F056C25F8}" name="COST" dataDxfId="20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5B9660D-0EE3-4CC3-915D-46804E70A44D}" name="tbl_Frozen" displayName="tbl_Frozen" ref="M1:P21" totalsRowShown="0" headerRowDxfId="19">
  <autoFilter ref="M1:P21" xr:uid="{95B9660D-0EE3-4CC3-915D-46804E70A44D}"/>
  <tableColumns count="4">
    <tableColumn id="1" xr3:uid="{6F7EF690-4271-4AE3-B041-D88C99C62338}" name="FROZEN FOODS" dataDxfId="18"/>
    <tableColumn id="2" xr3:uid="{1393A244-44FB-4729-A1C6-78F2D93C615E}" name="UNIT" dataDxfId="17"/>
    <tableColumn id="3" xr3:uid="{1B68ADA1-1894-4F51-921C-A81CF8896200}" name="PRICE" dataDxfId="16"/>
    <tableColumn id="4" xr3:uid="{B9A2A272-84FF-4913-9A39-E5D3839D8504}" name="COST" dataDxfId="15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7BD9386-10F9-4BB7-B276-E9AD6309CCB6}" name="tbl_Bakery" displayName="tbl_Bakery" ref="Q1:T21" totalsRowShown="0" headerRowDxfId="14">
  <autoFilter ref="Q1:T21" xr:uid="{17BD9386-10F9-4BB7-B276-E9AD6309CCB6}"/>
  <tableColumns count="4">
    <tableColumn id="1" xr3:uid="{47DF5F45-FBA6-4E7A-AF01-9E91A6E29816}" name="BAKERY" dataDxfId="13"/>
    <tableColumn id="2" xr3:uid="{762B3DB3-CBC9-44FA-85FA-76F2DCA28C40}" name="UNIT" dataDxfId="12"/>
    <tableColumn id="3" xr3:uid="{F5F4C63D-8D03-4AC1-B17C-9CCBB5E1176D}" name="PRICE" dataDxfId="11"/>
    <tableColumn id="4" xr3:uid="{71CE4D4D-13B5-4707-8361-665B50A3B87C}" name="COST" dataDxfId="10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51D7FA1-37E0-4543-8293-F1E0ACE231B2}" name="tbl_Dairy" displayName="tbl_Dairy" ref="U1:X21" totalsRowShown="0" headerRowDxfId="9">
  <autoFilter ref="U1:X21" xr:uid="{051D7FA1-37E0-4543-8293-F1E0ACE231B2}"/>
  <tableColumns count="4">
    <tableColumn id="1" xr3:uid="{1156B1B1-1899-4A3F-8D3A-7157307F83C6}" name="DAIRY" dataDxfId="8"/>
    <tableColumn id="2" xr3:uid="{23D1789E-81D6-43AC-AE23-3E14322BD1B0}" name="UNIT" dataDxfId="7"/>
    <tableColumn id="3" xr3:uid="{41C02E73-E4DE-4EB8-BC84-603EAF2ABED8}" name="PRICE" dataDxfId="6"/>
    <tableColumn id="4" xr3:uid="{6249A551-006A-461C-AD9A-A725F61B4422}" name="COST" dataDxfId="5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630ED2-26F5-4D25-8BF2-0854DF843237}" name="Table2" displayName="Table2" ref="A1:M1201" totalsRowShown="0">
  <autoFilter ref="A1:M1201" xr:uid="{F0630ED2-26F5-4D25-8BF2-0854DF843237}"/>
  <tableColumns count="13">
    <tableColumn id="1" xr3:uid="{C8146C0A-86FC-4DA1-9E63-3D6FC35DF3E4}" name="CITY"/>
    <tableColumn id="2" xr3:uid="{B056942E-CA05-4440-A35A-1E163DC046C8}" name="DEPARTMENT"/>
    <tableColumn id="3" xr3:uid="{667B093D-CD9D-4543-A45D-B32BEBD5DA4F}" name="ITEM"/>
    <tableColumn id="4" xr3:uid="{9183C50A-B782-4725-98EA-F21116B7ABE8}" name="UNIT"/>
    <tableColumn id="5" xr3:uid="{BD609C10-5F61-4ADC-9FF4-987B35D53CBC}" name="BASE PRICE" dataDxfId="4"/>
    <tableColumn id="6" xr3:uid="{8FE4669C-742E-4E29-9CF2-B053BC98162E}" name="COST" dataDxfId="3"/>
    <tableColumn id="7" xr3:uid="{CE55771F-6548-41B1-9D73-1ECEACF86FD4}" name="PRICE MULTIPLIER"/>
    <tableColumn id="8" xr3:uid="{583231C5-E34D-47F7-89B6-A63F435241EF}" name="NEW PRICE" dataDxfId="2"/>
    <tableColumn id="9" xr3:uid="{8A1286AE-26CD-4828-8499-1222837B4140}" name="STARTING INVENTORY"/>
    <tableColumn id="10" xr3:uid="{CA2F06CC-3196-4ACD-8C74-7526BA6409E8}" name="LOST INVENTORY"/>
    <tableColumn id="11" xr3:uid="{1858DFE7-E01C-43F7-ACB2-6DD8A422F958}" name="ENDING INVENTORY"/>
    <tableColumn id="12" xr3:uid="{0960B2FB-4148-433F-B6C6-38B21059B553}" name="Percentage Sold" dataDxfId="1">
      <calculatedColumnFormula>(Table2[[#This Row],[STARTING INVENTORY]]-Table2[[#This Row],[ENDING INVENTORY]])/(Table2[[#This Row],[STARTING INVENTORY]])</calculatedColumnFormula>
    </tableColumn>
    <tableColumn id="13" xr3:uid="{36039CB0-3340-404C-9672-4764298660F5}" name="Sold" dataDxfId="0">
      <calculatedColumnFormula>Table2[[#This Row],[STARTING INVENTORY]]-Table2[[#This Row],[ENDING INVENTORY]]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FD025-CCB0-42BC-9375-A26F0C7B4C75}">
  <dimension ref="A1:E16"/>
  <sheetViews>
    <sheetView workbookViewId="0">
      <selection activeCell="C12" sqref="C12"/>
    </sheetView>
  </sheetViews>
  <sheetFormatPr defaultColWidth="8.7109375" defaultRowHeight="15.75"/>
  <cols>
    <col min="1" max="1" width="14" style="1" customWidth="1"/>
    <col min="2" max="2" width="21.5703125" style="1" customWidth="1"/>
    <col min="3" max="3" width="18.140625" style="1" customWidth="1"/>
    <col min="4" max="4" width="17.85546875" style="1" customWidth="1"/>
    <col min="5" max="5" width="18.140625" style="1" customWidth="1"/>
    <col min="6" max="16384" width="8.7109375" style="1"/>
  </cols>
  <sheetData>
    <row r="1" spans="1:5">
      <c r="A1" s="14" t="s">
        <v>0</v>
      </c>
      <c r="B1" s="14"/>
      <c r="C1" s="14"/>
      <c r="D1" s="14"/>
    </row>
    <row r="2" spans="1:5">
      <c r="A2" s="7" t="s">
        <v>1</v>
      </c>
      <c r="B2" s="7" t="s">
        <v>2</v>
      </c>
      <c r="C2" s="7" t="s">
        <v>3</v>
      </c>
      <c r="D2" s="7" t="s">
        <v>4</v>
      </c>
    </row>
    <row r="3" spans="1:5">
      <c r="A3" s="9" t="s">
        <v>5</v>
      </c>
      <c r="B3" s="1">
        <v>1.25</v>
      </c>
      <c r="C3" s="1">
        <v>1.1499999999999999</v>
      </c>
      <c r="D3" s="1">
        <v>1.1000000000000001</v>
      </c>
      <c r="E3" s="8"/>
    </row>
    <row r="4" spans="1:5">
      <c r="A4" s="9" t="s">
        <v>6</v>
      </c>
      <c r="B4" s="1">
        <v>1.2</v>
      </c>
      <c r="C4" s="1">
        <v>1.1000000000000001</v>
      </c>
      <c r="D4" s="1">
        <v>1.05</v>
      </c>
      <c r="E4" s="8"/>
    </row>
    <row r="5" spans="1:5">
      <c r="A5" s="9" t="s">
        <v>7</v>
      </c>
      <c r="B5" s="1">
        <v>1.1499999999999999</v>
      </c>
      <c r="C5" s="1">
        <v>1.08</v>
      </c>
      <c r="D5" s="1">
        <v>1.04</v>
      </c>
      <c r="E5" s="8"/>
    </row>
    <row r="6" spans="1:5">
      <c r="A6" s="9" t="s">
        <v>8</v>
      </c>
      <c r="B6" s="1">
        <v>1.05</v>
      </c>
      <c r="C6" s="1">
        <v>1.03</v>
      </c>
      <c r="D6" s="1">
        <v>1.02</v>
      </c>
      <c r="E6" s="8"/>
    </row>
    <row r="7" spans="1:5">
      <c r="A7" s="9" t="s">
        <v>9</v>
      </c>
      <c r="B7" s="1">
        <v>0.95</v>
      </c>
      <c r="C7" s="1">
        <v>0.97</v>
      </c>
      <c r="D7" s="1">
        <v>0.98</v>
      </c>
      <c r="E7" s="8"/>
    </row>
    <row r="8" spans="1:5">
      <c r="A8" s="9" t="s">
        <v>10</v>
      </c>
      <c r="B8" s="1">
        <v>0.9</v>
      </c>
      <c r="C8" s="1">
        <v>0.95</v>
      </c>
      <c r="D8" s="1">
        <v>0.95</v>
      </c>
      <c r="E8" s="8"/>
    </row>
    <row r="9" spans="1:5">
      <c r="A9" s="9" t="s">
        <v>11</v>
      </c>
      <c r="B9" s="1">
        <v>1.2</v>
      </c>
      <c r="C9" s="1">
        <v>1.1200000000000001</v>
      </c>
      <c r="D9" s="1">
        <v>1.07</v>
      </c>
      <c r="E9" s="8"/>
    </row>
    <row r="10" spans="1:5">
      <c r="A10" s="9" t="s">
        <v>12</v>
      </c>
      <c r="B10" s="1">
        <v>1.1000000000000001</v>
      </c>
      <c r="C10" s="1">
        <v>1.06</v>
      </c>
      <c r="D10" s="1">
        <v>1.03</v>
      </c>
      <c r="E10" s="8"/>
    </row>
    <row r="11" spans="1:5">
      <c r="A11" s="9" t="s">
        <v>13</v>
      </c>
      <c r="B11" s="1">
        <v>1.1499999999999999</v>
      </c>
      <c r="C11" s="1">
        <v>1.08</v>
      </c>
      <c r="D11" s="1">
        <v>1.04</v>
      </c>
      <c r="E11" s="8"/>
    </row>
    <row r="12" spans="1:5">
      <c r="A12" s="9" t="s">
        <v>14</v>
      </c>
      <c r="B12" s="1">
        <v>1.05</v>
      </c>
      <c r="C12" s="1">
        <v>1.03</v>
      </c>
      <c r="D12" s="1">
        <v>1.01</v>
      </c>
      <c r="E12" s="8"/>
    </row>
    <row r="13" spans="1:5">
      <c r="E13" s="8"/>
    </row>
    <row r="14" spans="1:5">
      <c r="A14" s="15" t="s">
        <v>15</v>
      </c>
      <c r="B14" s="15"/>
    </row>
    <row r="15" spans="1:5">
      <c r="A15" s="10" t="s">
        <v>16</v>
      </c>
      <c r="B15" s="10" t="s">
        <v>17</v>
      </c>
    </row>
    <row r="16" spans="1:5">
      <c r="A16" s="11">
        <v>95</v>
      </c>
      <c r="B16" s="11">
        <v>110</v>
      </c>
    </row>
  </sheetData>
  <sheetProtection algorithmName="SHA-512" hashValue="QiuSyhCCJTxY5bBCTZjH320rD6qdNu2GXth86bR4FjDRdWva7L2EYLnqhYazBCF6tFmCrHFQgmyB1hGKV6wT5g==" saltValue="wKIQwbyrNDkKzJfAvATAxQ==" spinCount="100000" sheet="1" objects="1" scenarios="1"/>
  <mergeCells count="2">
    <mergeCell ref="A1:D1"/>
    <mergeCell ref="A14:B1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5875-F2F1-4B66-A3A0-F357D920A4AF}">
  <dimension ref="A1:X21"/>
  <sheetViews>
    <sheetView workbookViewId="0"/>
  </sheetViews>
  <sheetFormatPr defaultColWidth="8.7109375" defaultRowHeight="15.75"/>
  <cols>
    <col min="1" max="1" width="19.140625" style="1" bestFit="1" customWidth="1"/>
    <col min="2" max="2" width="9.28515625" style="5" customWidth="1"/>
    <col min="3" max="3" width="12.140625" style="1" customWidth="1"/>
    <col min="4" max="4" width="11.7109375" style="1" customWidth="1"/>
    <col min="5" max="5" width="30.5703125" bestFit="1" customWidth="1"/>
    <col min="6" max="6" width="9.28515625" style="6" customWidth="1"/>
    <col min="7" max="7" width="14.42578125" customWidth="1"/>
    <col min="8" max="8" width="17.140625" customWidth="1"/>
    <col min="9" max="9" width="33.140625" style="1" bestFit="1" customWidth="1"/>
    <col min="10" max="10" width="9.28515625" style="5" customWidth="1"/>
    <col min="11" max="11" width="13.85546875" style="1" bestFit="1" customWidth="1"/>
    <col min="12" max="12" width="12.85546875" style="1" bestFit="1" customWidth="1"/>
    <col min="13" max="13" width="33.42578125" bestFit="1" customWidth="1"/>
    <col min="14" max="14" width="8.140625" style="6" customWidth="1"/>
    <col min="15" max="15" width="15.7109375" customWidth="1"/>
    <col min="16" max="16" width="14.85546875" customWidth="1"/>
    <col min="17" max="17" width="27.140625" style="1" bestFit="1" customWidth="1"/>
    <col min="18" max="18" width="9.5703125" style="5" customWidth="1"/>
    <col min="19" max="19" width="15.7109375" style="1" customWidth="1"/>
    <col min="20" max="20" width="14.85546875" style="1" customWidth="1"/>
    <col min="21" max="21" width="29.85546875" style="1" bestFit="1" customWidth="1"/>
    <col min="22" max="22" width="8.85546875" style="5" customWidth="1"/>
    <col min="23" max="23" width="15.7109375" style="1" customWidth="1"/>
    <col min="24" max="24" width="14.85546875" style="1" customWidth="1"/>
    <col min="25" max="16384" width="8.7109375" style="1"/>
  </cols>
  <sheetData>
    <row r="1" spans="1:24" s="7" customFormat="1">
      <c r="A1" s="7" t="s">
        <v>18</v>
      </c>
      <c r="B1" s="7" t="s">
        <v>19</v>
      </c>
      <c r="C1" s="7" t="s">
        <v>20</v>
      </c>
      <c r="D1" s="7" t="s">
        <v>21</v>
      </c>
      <c r="E1" s="2" t="s">
        <v>22</v>
      </c>
      <c r="F1" s="2" t="s">
        <v>19</v>
      </c>
      <c r="G1" s="2" t="s">
        <v>20</v>
      </c>
      <c r="H1" s="2" t="s">
        <v>21</v>
      </c>
      <c r="I1" s="2" t="s">
        <v>23</v>
      </c>
      <c r="J1" s="2" t="s">
        <v>19</v>
      </c>
      <c r="K1" s="2" t="s">
        <v>20</v>
      </c>
      <c r="L1" s="2" t="s">
        <v>21</v>
      </c>
      <c r="M1" s="2" t="s">
        <v>24</v>
      </c>
      <c r="N1" s="2" t="s">
        <v>25</v>
      </c>
      <c r="O1" s="2" t="s">
        <v>20</v>
      </c>
      <c r="P1" s="2" t="s">
        <v>21</v>
      </c>
      <c r="Q1" s="2" t="s">
        <v>26</v>
      </c>
      <c r="R1" s="2" t="s">
        <v>25</v>
      </c>
      <c r="S1" s="2" t="s">
        <v>20</v>
      </c>
      <c r="T1" s="2" t="s">
        <v>21</v>
      </c>
      <c r="U1" s="2" t="s">
        <v>27</v>
      </c>
      <c r="V1" s="2" t="s">
        <v>25</v>
      </c>
      <c r="W1" s="2" t="s">
        <v>20</v>
      </c>
      <c r="X1" s="2" t="s">
        <v>21</v>
      </c>
    </row>
    <row r="2" spans="1:24">
      <c r="A2" s="1" t="s">
        <v>28</v>
      </c>
      <c r="B2" s="5" t="s">
        <v>29</v>
      </c>
      <c r="C2" s="4">
        <v>0.65</v>
      </c>
      <c r="D2" s="4">
        <v>0.35</v>
      </c>
      <c r="E2" s="1" t="s">
        <v>30</v>
      </c>
      <c r="F2" s="5" t="s">
        <v>29</v>
      </c>
      <c r="G2" s="4">
        <v>4.99</v>
      </c>
      <c r="H2" s="4">
        <v>2.85</v>
      </c>
      <c r="I2" s="1" t="s">
        <v>31</v>
      </c>
      <c r="J2" s="5" t="s">
        <v>29</v>
      </c>
      <c r="K2" s="4">
        <v>8.99</v>
      </c>
      <c r="L2" s="4">
        <v>5.25</v>
      </c>
      <c r="M2" s="1" t="s">
        <v>32</v>
      </c>
      <c r="N2" s="5" t="s">
        <v>33</v>
      </c>
      <c r="O2" s="4">
        <v>5.99</v>
      </c>
      <c r="P2" s="4">
        <v>3.25</v>
      </c>
      <c r="Q2" s="1" t="s">
        <v>34</v>
      </c>
      <c r="R2" s="5" t="s">
        <v>33</v>
      </c>
      <c r="S2" s="4">
        <v>2.4900000000000002</v>
      </c>
      <c r="T2" s="4">
        <v>1.3</v>
      </c>
      <c r="U2" s="1" t="s">
        <v>35</v>
      </c>
      <c r="V2" s="5" t="s">
        <v>33</v>
      </c>
      <c r="W2" s="4">
        <v>3.79</v>
      </c>
      <c r="X2" s="4">
        <v>2</v>
      </c>
    </row>
    <row r="3" spans="1:24">
      <c r="A3" s="1" t="s">
        <v>36</v>
      </c>
      <c r="B3" s="5" t="s">
        <v>29</v>
      </c>
      <c r="C3" s="4">
        <v>1.49</v>
      </c>
      <c r="D3" s="4">
        <v>0.85</v>
      </c>
      <c r="E3" s="1" t="s">
        <v>37</v>
      </c>
      <c r="F3" s="5" t="s">
        <v>29</v>
      </c>
      <c r="G3" s="4">
        <v>4.29</v>
      </c>
      <c r="H3" s="4">
        <v>2.5</v>
      </c>
      <c r="I3" s="1" t="s">
        <v>38</v>
      </c>
      <c r="J3" s="5" t="s">
        <v>29</v>
      </c>
      <c r="K3" s="4">
        <v>7.99</v>
      </c>
      <c r="L3" s="4">
        <v>4.75</v>
      </c>
      <c r="M3" s="1" t="s">
        <v>39</v>
      </c>
      <c r="N3" s="5" t="s">
        <v>33</v>
      </c>
      <c r="O3" s="4">
        <v>1.69</v>
      </c>
      <c r="P3" s="4">
        <v>0.9</v>
      </c>
      <c r="Q3" s="1" t="s">
        <v>40</v>
      </c>
      <c r="R3" s="5" t="s">
        <v>33</v>
      </c>
      <c r="S3" s="4">
        <v>2.99</v>
      </c>
      <c r="T3" s="4">
        <v>1.6</v>
      </c>
      <c r="U3" s="1" t="s">
        <v>41</v>
      </c>
      <c r="V3" s="5" t="s">
        <v>33</v>
      </c>
      <c r="W3" s="4">
        <v>3.69</v>
      </c>
      <c r="X3" s="4">
        <v>1.95</v>
      </c>
    </row>
    <row r="4" spans="1:24">
      <c r="A4" s="1" t="s">
        <v>42</v>
      </c>
      <c r="B4" s="5" t="s">
        <v>29</v>
      </c>
      <c r="C4" s="4">
        <v>1.29</v>
      </c>
      <c r="D4" s="4">
        <v>0.7</v>
      </c>
      <c r="E4" s="1" t="s">
        <v>43</v>
      </c>
      <c r="F4" s="5" t="s">
        <v>29</v>
      </c>
      <c r="G4" s="4">
        <v>3.99</v>
      </c>
      <c r="H4" s="4">
        <v>2.1</v>
      </c>
      <c r="I4" s="1" t="s">
        <v>44</v>
      </c>
      <c r="J4" s="5" t="s">
        <v>29</v>
      </c>
      <c r="K4" s="4">
        <v>10.99</v>
      </c>
      <c r="L4" s="4">
        <v>6.5</v>
      </c>
      <c r="M4" s="1" t="s">
        <v>45</v>
      </c>
      <c r="N4" s="5" t="s">
        <v>33</v>
      </c>
      <c r="O4" s="4">
        <v>2.99</v>
      </c>
      <c r="P4" s="4">
        <v>1.6</v>
      </c>
      <c r="Q4" s="1" t="s">
        <v>46</v>
      </c>
      <c r="R4" s="5" t="s">
        <v>33</v>
      </c>
      <c r="S4" s="4">
        <v>2.4900000000000002</v>
      </c>
      <c r="T4" s="4">
        <v>1.35</v>
      </c>
      <c r="U4" s="1" t="s">
        <v>47</v>
      </c>
      <c r="V4" s="5" t="s">
        <v>33</v>
      </c>
      <c r="W4" s="4">
        <v>3.59</v>
      </c>
      <c r="X4" s="4">
        <v>1.9</v>
      </c>
    </row>
    <row r="5" spans="1:24">
      <c r="A5" s="1" t="s">
        <v>48</v>
      </c>
      <c r="B5" s="5" t="s">
        <v>33</v>
      </c>
      <c r="C5" s="4">
        <v>0.69</v>
      </c>
      <c r="D5" s="4">
        <v>0.35</v>
      </c>
      <c r="E5" s="1" t="s">
        <v>49</v>
      </c>
      <c r="F5" s="5" t="s">
        <v>29</v>
      </c>
      <c r="G5" s="4">
        <v>1.89</v>
      </c>
      <c r="H5" s="4">
        <v>1</v>
      </c>
      <c r="I5" s="1" t="s">
        <v>50</v>
      </c>
      <c r="J5" s="5" t="s">
        <v>29</v>
      </c>
      <c r="K5" s="4">
        <v>9.49</v>
      </c>
      <c r="L5" s="4">
        <v>5.75</v>
      </c>
      <c r="M5" s="1" t="s">
        <v>51</v>
      </c>
      <c r="N5" s="5" t="s">
        <v>33</v>
      </c>
      <c r="O5" s="4">
        <v>1.99</v>
      </c>
      <c r="P5" s="4">
        <v>1.1000000000000001</v>
      </c>
      <c r="Q5" s="1" t="s">
        <v>52</v>
      </c>
      <c r="R5" s="5" t="s">
        <v>33</v>
      </c>
      <c r="S5" s="4">
        <v>2.99</v>
      </c>
      <c r="T5" s="4">
        <v>1.6</v>
      </c>
      <c r="U5" s="1" t="s">
        <v>53</v>
      </c>
      <c r="V5" s="5" t="s">
        <v>33</v>
      </c>
      <c r="W5" s="4">
        <v>4.99</v>
      </c>
      <c r="X5" s="4">
        <v>3.1</v>
      </c>
    </row>
    <row r="6" spans="1:24">
      <c r="A6" s="1" t="s">
        <v>54</v>
      </c>
      <c r="B6" s="5" t="s">
        <v>33</v>
      </c>
      <c r="C6" s="4">
        <v>0.39</v>
      </c>
      <c r="D6" s="4">
        <v>0.2</v>
      </c>
      <c r="E6" s="1" t="s">
        <v>55</v>
      </c>
      <c r="F6" s="5" t="s">
        <v>29</v>
      </c>
      <c r="G6" s="4">
        <v>1.59</v>
      </c>
      <c r="H6" s="4">
        <v>0.9</v>
      </c>
      <c r="I6" s="1" t="s">
        <v>56</v>
      </c>
      <c r="J6" s="5" t="s">
        <v>29</v>
      </c>
      <c r="K6" s="4">
        <v>8.99</v>
      </c>
      <c r="L6" s="4">
        <v>5.5</v>
      </c>
      <c r="M6" s="1" t="s">
        <v>57</v>
      </c>
      <c r="N6" s="5" t="s">
        <v>33</v>
      </c>
      <c r="O6" s="4">
        <v>1.79</v>
      </c>
      <c r="P6" s="4">
        <v>0.95</v>
      </c>
      <c r="Q6" s="1" t="s">
        <v>58</v>
      </c>
      <c r="R6" s="5" t="s">
        <v>33</v>
      </c>
      <c r="S6" s="4">
        <v>3.99</v>
      </c>
      <c r="T6" s="4">
        <v>2.1</v>
      </c>
      <c r="U6" s="1" t="s">
        <v>59</v>
      </c>
      <c r="V6" s="5" t="s">
        <v>33</v>
      </c>
      <c r="W6" s="4">
        <v>3.49</v>
      </c>
      <c r="X6" s="4">
        <v>2</v>
      </c>
    </row>
    <row r="7" spans="1:24">
      <c r="A7" s="1" t="s">
        <v>60</v>
      </c>
      <c r="B7" s="5" t="s">
        <v>33</v>
      </c>
      <c r="C7" s="4">
        <v>1.29</v>
      </c>
      <c r="D7" s="4">
        <v>0.75</v>
      </c>
      <c r="E7" s="1" t="s">
        <v>61</v>
      </c>
      <c r="F7" s="5" t="s">
        <v>29</v>
      </c>
      <c r="G7" s="4">
        <v>3.49</v>
      </c>
      <c r="H7" s="4">
        <v>1.9</v>
      </c>
      <c r="I7" s="1" t="s">
        <v>62</v>
      </c>
      <c r="J7" s="5" t="s">
        <v>29</v>
      </c>
      <c r="K7" s="4">
        <v>7.49</v>
      </c>
      <c r="L7" s="4">
        <v>4.25</v>
      </c>
      <c r="M7" s="1" t="s">
        <v>63</v>
      </c>
      <c r="N7" s="5" t="s">
        <v>33</v>
      </c>
      <c r="O7" s="4">
        <v>4.99</v>
      </c>
      <c r="P7" s="4">
        <v>2.75</v>
      </c>
      <c r="Q7" s="1" t="s">
        <v>64</v>
      </c>
      <c r="R7" s="5" t="s">
        <v>33</v>
      </c>
      <c r="S7" s="4">
        <v>3.49</v>
      </c>
      <c r="T7" s="4">
        <v>1.85</v>
      </c>
      <c r="U7" s="1" t="s">
        <v>65</v>
      </c>
      <c r="V7" s="5" t="s">
        <v>33</v>
      </c>
      <c r="W7" s="4">
        <v>2.99</v>
      </c>
      <c r="X7" s="4">
        <v>1.7</v>
      </c>
    </row>
    <row r="8" spans="1:24">
      <c r="A8" s="1" t="s">
        <v>66</v>
      </c>
      <c r="B8" s="5" t="s">
        <v>29</v>
      </c>
      <c r="C8" s="4">
        <v>1.19</v>
      </c>
      <c r="D8" s="4">
        <v>0.6</v>
      </c>
      <c r="E8" s="1" t="s">
        <v>67</v>
      </c>
      <c r="F8" s="5" t="s">
        <v>29</v>
      </c>
      <c r="G8" s="4">
        <v>2.4900000000000002</v>
      </c>
      <c r="H8" s="4">
        <v>1.3</v>
      </c>
      <c r="I8" s="1" t="s">
        <v>68</v>
      </c>
      <c r="J8" s="5" t="s">
        <v>29</v>
      </c>
      <c r="K8" s="4">
        <v>8.49</v>
      </c>
      <c r="L8" s="4">
        <v>5.0999999999999996</v>
      </c>
      <c r="M8" s="1" t="s">
        <v>69</v>
      </c>
      <c r="N8" s="5" t="s">
        <v>33</v>
      </c>
      <c r="O8" s="4">
        <v>3.49</v>
      </c>
      <c r="P8" s="4">
        <v>1.9</v>
      </c>
      <c r="Q8" s="1" t="s">
        <v>70</v>
      </c>
      <c r="R8" s="5" t="s">
        <v>33</v>
      </c>
      <c r="S8" s="4">
        <v>2.99</v>
      </c>
      <c r="T8" s="4">
        <v>1.55</v>
      </c>
      <c r="U8" s="1" t="s">
        <v>71</v>
      </c>
      <c r="V8" s="5" t="s">
        <v>33</v>
      </c>
      <c r="W8" s="4">
        <v>2.59</v>
      </c>
      <c r="X8" s="4">
        <v>1.5</v>
      </c>
    </row>
    <row r="9" spans="1:24">
      <c r="A9" s="1" t="s">
        <v>72</v>
      </c>
      <c r="B9" s="5" t="s">
        <v>29</v>
      </c>
      <c r="C9" s="4">
        <v>0.99</v>
      </c>
      <c r="D9" s="4">
        <v>0.45</v>
      </c>
      <c r="E9" s="1" t="s">
        <v>73</v>
      </c>
      <c r="F9" s="5" t="s">
        <v>29</v>
      </c>
      <c r="G9" s="4">
        <v>6.49</v>
      </c>
      <c r="H9" s="4">
        <v>4</v>
      </c>
      <c r="I9" s="1" t="s">
        <v>74</v>
      </c>
      <c r="J9" s="5" t="s">
        <v>29</v>
      </c>
      <c r="K9" s="4">
        <v>4.99</v>
      </c>
      <c r="L9" s="4">
        <v>2.8</v>
      </c>
      <c r="M9" s="1" t="s">
        <v>75</v>
      </c>
      <c r="N9" s="5" t="s">
        <v>33</v>
      </c>
      <c r="O9" s="4">
        <v>6.99</v>
      </c>
      <c r="P9" s="4">
        <v>4</v>
      </c>
      <c r="Q9" s="1" t="s">
        <v>76</v>
      </c>
      <c r="R9" s="5" t="s">
        <v>33</v>
      </c>
      <c r="S9" s="4">
        <v>2.99</v>
      </c>
      <c r="T9" s="4">
        <v>1.55</v>
      </c>
      <c r="U9" s="1" t="s">
        <v>77</v>
      </c>
      <c r="V9" s="5" t="s">
        <v>33</v>
      </c>
      <c r="W9" s="4">
        <v>4.49</v>
      </c>
      <c r="X9" s="4">
        <v>2.65</v>
      </c>
    </row>
    <row r="10" spans="1:24">
      <c r="A10" s="1" t="s">
        <v>78</v>
      </c>
      <c r="B10" s="5" t="s">
        <v>29</v>
      </c>
      <c r="C10" s="4">
        <v>0.89</v>
      </c>
      <c r="D10" s="4">
        <v>0.4</v>
      </c>
      <c r="E10" s="1" t="s">
        <v>79</v>
      </c>
      <c r="F10" s="5" t="s">
        <v>29</v>
      </c>
      <c r="G10" s="4">
        <v>3.99</v>
      </c>
      <c r="H10" s="4">
        <v>2.2000000000000002</v>
      </c>
      <c r="I10" s="1" t="s">
        <v>80</v>
      </c>
      <c r="J10" s="5" t="s">
        <v>29</v>
      </c>
      <c r="K10" s="4">
        <v>6.99</v>
      </c>
      <c r="L10" s="4">
        <v>4</v>
      </c>
      <c r="M10" s="1" t="s">
        <v>81</v>
      </c>
      <c r="N10" s="5" t="s">
        <v>33</v>
      </c>
      <c r="O10" s="4">
        <v>1.49</v>
      </c>
      <c r="P10" s="4">
        <v>0.8</v>
      </c>
      <c r="Q10" s="1" t="s">
        <v>82</v>
      </c>
      <c r="R10" s="5" t="s">
        <v>33</v>
      </c>
      <c r="S10" s="4">
        <v>3.29</v>
      </c>
      <c r="T10" s="4">
        <v>1.75</v>
      </c>
      <c r="U10" s="1" t="s">
        <v>83</v>
      </c>
      <c r="V10" s="5" t="s">
        <v>33</v>
      </c>
      <c r="W10" s="4">
        <v>2.29</v>
      </c>
      <c r="X10" s="4">
        <v>1.2</v>
      </c>
    </row>
    <row r="11" spans="1:24">
      <c r="A11" s="1" t="s">
        <v>84</v>
      </c>
      <c r="B11" s="5" t="s">
        <v>29</v>
      </c>
      <c r="C11" s="4">
        <v>0.89</v>
      </c>
      <c r="D11" s="4">
        <v>0.35</v>
      </c>
      <c r="E11" s="1" t="s">
        <v>85</v>
      </c>
      <c r="F11" s="5" t="s">
        <v>29</v>
      </c>
      <c r="G11" s="4">
        <v>4.99</v>
      </c>
      <c r="H11" s="4">
        <v>2.75</v>
      </c>
      <c r="I11" s="1" t="s">
        <v>86</v>
      </c>
      <c r="J11" s="5" t="s">
        <v>29</v>
      </c>
      <c r="K11" s="4">
        <v>14.99</v>
      </c>
      <c r="L11" s="4">
        <v>9</v>
      </c>
      <c r="M11" s="1" t="s">
        <v>87</v>
      </c>
      <c r="N11" s="5" t="s">
        <v>33</v>
      </c>
      <c r="O11" s="4">
        <v>7.49</v>
      </c>
      <c r="P11" s="4">
        <v>4.25</v>
      </c>
      <c r="Q11" s="1" t="s">
        <v>88</v>
      </c>
      <c r="R11" s="5" t="s">
        <v>33</v>
      </c>
      <c r="S11" s="4">
        <v>3.99</v>
      </c>
      <c r="T11" s="4">
        <v>2.2000000000000002</v>
      </c>
      <c r="U11" s="1" t="s">
        <v>89</v>
      </c>
      <c r="V11" s="5" t="s">
        <v>33</v>
      </c>
      <c r="W11" s="4">
        <v>2.4900000000000002</v>
      </c>
      <c r="X11" s="4">
        <v>1.4</v>
      </c>
    </row>
    <row r="12" spans="1:24">
      <c r="A12" s="1" t="s">
        <v>90</v>
      </c>
      <c r="B12" s="5" t="s">
        <v>29</v>
      </c>
      <c r="C12" s="4">
        <v>1.79</v>
      </c>
      <c r="D12" s="4">
        <v>0.9</v>
      </c>
      <c r="E12" s="1" t="s">
        <v>91</v>
      </c>
      <c r="F12" s="5" t="s">
        <v>29</v>
      </c>
      <c r="G12" s="4">
        <v>5.99</v>
      </c>
      <c r="H12" s="4">
        <v>3.5</v>
      </c>
      <c r="I12" s="1" t="s">
        <v>92</v>
      </c>
      <c r="J12" s="5" t="s">
        <v>29</v>
      </c>
      <c r="K12" s="4">
        <v>4.99</v>
      </c>
      <c r="L12" s="4">
        <v>2.75</v>
      </c>
      <c r="M12" s="1" t="s">
        <v>93</v>
      </c>
      <c r="N12" s="5" t="s">
        <v>33</v>
      </c>
      <c r="O12" s="4">
        <v>2.99</v>
      </c>
      <c r="P12" s="4">
        <v>1.6</v>
      </c>
      <c r="Q12" s="1" t="s">
        <v>94</v>
      </c>
      <c r="R12" s="5" t="s">
        <v>33</v>
      </c>
      <c r="S12" s="4">
        <v>4.99</v>
      </c>
      <c r="T12" s="4">
        <v>2.75</v>
      </c>
      <c r="U12" s="1" t="s">
        <v>95</v>
      </c>
      <c r="V12" s="5" t="s">
        <v>33</v>
      </c>
      <c r="W12" s="4">
        <v>2.99</v>
      </c>
      <c r="X12" s="4">
        <v>1.6</v>
      </c>
    </row>
    <row r="13" spans="1:24">
      <c r="A13" s="1" t="s">
        <v>96</v>
      </c>
      <c r="B13" s="5" t="s">
        <v>33</v>
      </c>
      <c r="C13" s="4">
        <v>1.99</v>
      </c>
      <c r="D13" s="4">
        <v>1</v>
      </c>
      <c r="E13" s="1" t="s">
        <v>97</v>
      </c>
      <c r="F13" s="5" t="s">
        <v>29</v>
      </c>
      <c r="G13" s="4">
        <v>12.99</v>
      </c>
      <c r="H13" s="4">
        <v>8</v>
      </c>
      <c r="I13" s="1" t="s">
        <v>98</v>
      </c>
      <c r="J13" s="5" t="s">
        <v>29</v>
      </c>
      <c r="K13" s="4">
        <v>6.99</v>
      </c>
      <c r="L13" s="4">
        <v>3.9</v>
      </c>
      <c r="M13" s="1" t="s">
        <v>99</v>
      </c>
      <c r="N13" s="5" t="s">
        <v>33</v>
      </c>
      <c r="O13" s="4">
        <v>2.99</v>
      </c>
      <c r="P13" s="4">
        <v>1.65</v>
      </c>
      <c r="Q13" s="1" t="s">
        <v>100</v>
      </c>
      <c r="R13" s="5" t="s">
        <v>33</v>
      </c>
      <c r="S13" s="4">
        <v>4.49</v>
      </c>
      <c r="T13" s="4">
        <v>2.4</v>
      </c>
      <c r="U13" s="1" t="s">
        <v>101</v>
      </c>
      <c r="V13" s="5" t="s">
        <v>33</v>
      </c>
      <c r="W13" s="4">
        <v>1.29</v>
      </c>
      <c r="X13" s="4">
        <v>0.7</v>
      </c>
    </row>
    <row r="14" spans="1:24">
      <c r="A14" s="1" t="s">
        <v>102</v>
      </c>
      <c r="B14" s="5" t="s">
        <v>29</v>
      </c>
      <c r="C14" s="4">
        <v>4.78</v>
      </c>
      <c r="D14" s="4">
        <v>2.56</v>
      </c>
      <c r="E14" s="1" t="s">
        <v>103</v>
      </c>
      <c r="F14" s="5" t="s">
        <v>29</v>
      </c>
      <c r="G14" s="4">
        <v>11.99</v>
      </c>
      <c r="H14" s="4">
        <v>7</v>
      </c>
      <c r="I14" s="1" t="s">
        <v>104</v>
      </c>
      <c r="J14" s="5" t="s">
        <v>29</v>
      </c>
      <c r="K14" s="4">
        <v>7.49</v>
      </c>
      <c r="L14" s="4">
        <v>4.3</v>
      </c>
      <c r="M14" s="1" t="s">
        <v>105</v>
      </c>
      <c r="N14" s="5" t="s">
        <v>33</v>
      </c>
      <c r="O14" s="4">
        <v>3.99</v>
      </c>
      <c r="P14" s="4">
        <v>2.2000000000000002</v>
      </c>
      <c r="Q14" s="1" t="s">
        <v>106</v>
      </c>
      <c r="R14" s="5" t="s">
        <v>33</v>
      </c>
      <c r="S14" s="4">
        <v>4.99</v>
      </c>
      <c r="T14" s="4">
        <v>2.7</v>
      </c>
      <c r="U14" s="1" t="s">
        <v>107</v>
      </c>
      <c r="V14" s="5" t="s">
        <v>33</v>
      </c>
      <c r="W14" s="4">
        <v>0.99</v>
      </c>
      <c r="X14" s="4">
        <v>0.55000000000000004</v>
      </c>
    </row>
    <row r="15" spans="1:24">
      <c r="A15" s="1" t="s">
        <v>108</v>
      </c>
      <c r="B15" s="5" t="s">
        <v>29</v>
      </c>
      <c r="C15" s="4">
        <v>1.49</v>
      </c>
      <c r="D15" s="4">
        <v>0.75</v>
      </c>
      <c r="E15" s="1" t="s">
        <v>109</v>
      </c>
      <c r="F15" s="5" t="s">
        <v>29</v>
      </c>
      <c r="G15" s="4">
        <v>3.29</v>
      </c>
      <c r="H15" s="4">
        <v>1.8</v>
      </c>
      <c r="I15" s="1" t="s">
        <v>110</v>
      </c>
      <c r="J15" s="5" t="s">
        <v>29</v>
      </c>
      <c r="K15" s="4">
        <v>6.99</v>
      </c>
      <c r="L15" s="4">
        <v>4</v>
      </c>
      <c r="M15" s="1" t="s">
        <v>111</v>
      </c>
      <c r="N15" s="5" t="s">
        <v>33</v>
      </c>
      <c r="O15" s="4">
        <v>6.99</v>
      </c>
      <c r="P15" s="4">
        <v>4</v>
      </c>
      <c r="Q15" s="1" t="s">
        <v>112</v>
      </c>
      <c r="R15" s="5" t="s">
        <v>33</v>
      </c>
      <c r="S15" s="4">
        <v>4.99</v>
      </c>
      <c r="T15" s="4">
        <v>2.6</v>
      </c>
      <c r="U15" s="1" t="s">
        <v>113</v>
      </c>
      <c r="V15" s="5" t="s">
        <v>33</v>
      </c>
      <c r="W15" s="4">
        <v>2.4900000000000002</v>
      </c>
      <c r="X15" s="4">
        <v>1.4</v>
      </c>
    </row>
    <row r="16" spans="1:24">
      <c r="A16" s="1" t="s">
        <v>114</v>
      </c>
      <c r="B16" s="5" t="s">
        <v>33</v>
      </c>
      <c r="C16" s="4">
        <v>0.89</v>
      </c>
      <c r="D16" s="4">
        <v>0.4</v>
      </c>
      <c r="E16" s="1" t="s">
        <v>115</v>
      </c>
      <c r="F16" s="5" t="s">
        <v>29</v>
      </c>
      <c r="G16" s="4">
        <v>13.99</v>
      </c>
      <c r="H16" s="4">
        <v>9</v>
      </c>
      <c r="I16" s="1" t="s">
        <v>116</v>
      </c>
      <c r="J16" s="5" t="s">
        <v>29</v>
      </c>
      <c r="K16" s="4">
        <v>7.99</v>
      </c>
      <c r="L16" s="4">
        <v>4.75</v>
      </c>
      <c r="M16" s="1" t="s">
        <v>117</v>
      </c>
      <c r="N16" s="5" t="s">
        <v>33</v>
      </c>
      <c r="O16" s="4">
        <v>8.99</v>
      </c>
      <c r="P16" s="4">
        <v>5.25</v>
      </c>
      <c r="Q16" s="1" t="s">
        <v>118</v>
      </c>
      <c r="R16" s="5" t="s">
        <v>33</v>
      </c>
      <c r="S16" s="4">
        <v>6.99</v>
      </c>
      <c r="T16" s="4">
        <v>4</v>
      </c>
      <c r="U16" s="1" t="s">
        <v>119</v>
      </c>
      <c r="V16" s="5" t="s">
        <v>33</v>
      </c>
      <c r="W16" s="4">
        <v>3.49</v>
      </c>
      <c r="X16" s="4">
        <v>2</v>
      </c>
    </row>
    <row r="17" spans="1:24">
      <c r="A17" s="1" t="s">
        <v>120</v>
      </c>
      <c r="B17" s="5" t="s">
        <v>29</v>
      </c>
      <c r="C17" s="4">
        <v>2.4900000000000002</v>
      </c>
      <c r="D17" s="4">
        <v>1.4</v>
      </c>
      <c r="E17" s="1" t="s">
        <v>121</v>
      </c>
      <c r="F17" s="5" t="s">
        <v>29</v>
      </c>
      <c r="G17" s="4">
        <v>1.79</v>
      </c>
      <c r="H17" s="4">
        <v>0.95</v>
      </c>
      <c r="I17" s="1" t="s">
        <v>122</v>
      </c>
      <c r="J17" s="5" t="s">
        <v>29</v>
      </c>
      <c r="K17" s="4">
        <v>3.99</v>
      </c>
      <c r="L17" s="4">
        <v>2.25</v>
      </c>
      <c r="M17" s="1" t="s">
        <v>123</v>
      </c>
      <c r="N17" s="5" t="s">
        <v>33</v>
      </c>
      <c r="O17" s="4">
        <v>3.49</v>
      </c>
      <c r="P17" s="4">
        <v>2</v>
      </c>
      <c r="Q17" s="1" t="s">
        <v>124</v>
      </c>
      <c r="R17" s="5" t="s">
        <v>33</v>
      </c>
      <c r="S17" s="4">
        <v>7.49</v>
      </c>
      <c r="T17" s="4">
        <v>4.25</v>
      </c>
      <c r="U17" s="1" t="s">
        <v>125</v>
      </c>
      <c r="V17" s="5" t="s">
        <v>33</v>
      </c>
      <c r="W17" s="4">
        <v>3.99</v>
      </c>
      <c r="X17" s="4">
        <v>2.25</v>
      </c>
    </row>
    <row r="18" spans="1:24">
      <c r="A18" s="1" t="s">
        <v>126</v>
      </c>
      <c r="B18" s="5" t="s">
        <v>29</v>
      </c>
      <c r="C18" s="4">
        <v>3.49</v>
      </c>
      <c r="D18" s="4">
        <v>2</v>
      </c>
      <c r="E18" s="1" t="s">
        <v>127</v>
      </c>
      <c r="F18" s="5" t="s">
        <v>29</v>
      </c>
      <c r="G18" s="4">
        <v>3.49</v>
      </c>
      <c r="H18" s="4">
        <v>1.85</v>
      </c>
      <c r="I18" s="1" t="s">
        <v>128</v>
      </c>
      <c r="J18" s="5" t="s">
        <v>29</v>
      </c>
      <c r="K18" s="4">
        <v>3.99</v>
      </c>
      <c r="L18" s="4">
        <v>2.1</v>
      </c>
      <c r="M18" s="1" t="s">
        <v>129</v>
      </c>
      <c r="N18" s="5" t="s">
        <v>33</v>
      </c>
      <c r="O18" s="4">
        <v>4.99</v>
      </c>
      <c r="P18" s="4">
        <v>2.8</v>
      </c>
      <c r="Q18" s="1" t="s">
        <v>130</v>
      </c>
      <c r="R18" s="5" t="s">
        <v>33</v>
      </c>
      <c r="S18" s="4">
        <v>8.99</v>
      </c>
      <c r="T18" s="4">
        <v>5</v>
      </c>
      <c r="U18" s="1" t="s">
        <v>131</v>
      </c>
      <c r="V18" s="5" t="s">
        <v>33</v>
      </c>
      <c r="W18" s="4">
        <v>5.99</v>
      </c>
      <c r="X18" s="4">
        <v>3.4</v>
      </c>
    </row>
    <row r="19" spans="1:24">
      <c r="A19" s="1" t="s">
        <v>132</v>
      </c>
      <c r="B19" s="5" t="s">
        <v>29</v>
      </c>
      <c r="C19" s="4">
        <v>0.8</v>
      </c>
      <c r="D19" s="4">
        <v>0.45</v>
      </c>
      <c r="E19" s="1" t="s">
        <v>133</v>
      </c>
      <c r="F19" s="5" t="s">
        <v>29</v>
      </c>
      <c r="G19" s="4">
        <v>8.99</v>
      </c>
      <c r="H19" s="4">
        <v>5.5</v>
      </c>
      <c r="I19" s="1" t="s">
        <v>134</v>
      </c>
      <c r="J19" s="5" t="s">
        <v>29</v>
      </c>
      <c r="K19" s="4">
        <v>3.99</v>
      </c>
      <c r="L19" s="4">
        <v>2</v>
      </c>
      <c r="M19" s="1" t="s">
        <v>135</v>
      </c>
      <c r="N19" s="5" t="s">
        <v>33</v>
      </c>
      <c r="O19" s="4">
        <v>2.4900000000000002</v>
      </c>
      <c r="P19" s="4">
        <v>1.35</v>
      </c>
      <c r="Q19" s="1" t="s">
        <v>136</v>
      </c>
      <c r="R19" s="5" t="s">
        <v>33</v>
      </c>
      <c r="S19" s="4">
        <v>5.49</v>
      </c>
      <c r="T19" s="4">
        <v>3</v>
      </c>
      <c r="U19" s="1" t="s">
        <v>137</v>
      </c>
      <c r="V19" s="5" t="s">
        <v>33</v>
      </c>
      <c r="W19" s="4">
        <v>5.49</v>
      </c>
      <c r="X19" s="4">
        <v>3.1</v>
      </c>
    </row>
    <row r="20" spans="1:24">
      <c r="A20" s="1" t="s">
        <v>138</v>
      </c>
      <c r="B20" s="5" t="s">
        <v>33</v>
      </c>
      <c r="C20" s="4">
        <v>3.49</v>
      </c>
      <c r="D20" s="4">
        <v>1.9</v>
      </c>
      <c r="E20" s="1" t="s">
        <v>139</v>
      </c>
      <c r="F20" s="5" t="s">
        <v>29</v>
      </c>
      <c r="G20" s="4">
        <v>3.49</v>
      </c>
      <c r="H20" s="4">
        <v>1.9</v>
      </c>
      <c r="I20" s="1" t="s">
        <v>140</v>
      </c>
      <c r="J20" s="5" t="s">
        <v>33</v>
      </c>
      <c r="K20" s="4">
        <v>7.99</v>
      </c>
      <c r="L20" s="4">
        <v>4.5</v>
      </c>
      <c r="M20" s="1" t="s">
        <v>141</v>
      </c>
      <c r="N20" s="5" t="s">
        <v>33</v>
      </c>
      <c r="O20" s="4">
        <v>3.99</v>
      </c>
      <c r="P20" s="4">
        <v>2.25</v>
      </c>
      <c r="Q20" s="1" t="s">
        <v>142</v>
      </c>
      <c r="R20" s="5" t="s">
        <v>33</v>
      </c>
      <c r="S20" s="4">
        <v>4.49</v>
      </c>
      <c r="T20" s="4">
        <v>2.4</v>
      </c>
      <c r="U20" s="1" t="s">
        <v>143</v>
      </c>
      <c r="V20" s="5" t="s">
        <v>33</v>
      </c>
      <c r="W20" s="4">
        <v>2.99</v>
      </c>
      <c r="X20" s="4">
        <v>1.5</v>
      </c>
    </row>
    <row r="21" spans="1:24">
      <c r="A21" s="1" t="s">
        <v>144</v>
      </c>
      <c r="B21" s="5" t="s">
        <v>33</v>
      </c>
      <c r="C21" s="4">
        <v>6.99</v>
      </c>
      <c r="D21" s="4">
        <v>4</v>
      </c>
      <c r="E21" s="1" t="s">
        <v>145</v>
      </c>
      <c r="F21" s="5" t="s">
        <v>29</v>
      </c>
      <c r="G21" s="4">
        <v>4.99</v>
      </c>
      <c r="H21" s="4">
        <v>2.75</v>
      </c>
      <c r="I21" s="1" t="s">
        <v>146</v>
      </c>
      <c r="J21" s="5" t="s">
        <v>33</v>
      </c>
      <c r="K21" s="4">
        <v>6.99</v>
      </c>
      <c r="L21" s="4">
        <v>3.75</v>
      </c>
      <c r="M21" s="1" t="s">
        <v>147</v>
      </c>
      <c r="N21" s="5" t="s">
        <v>33</v>
      </c>
      <c r="O21" s="4">
        <v>4.99</v>
      </c>
      <c r="P21" s="4">
        <v>2.8</v>
      </c>
      <c r="Q21" s="1" t="s">
        <v>148</v>
      </c>
      <c r="R21" s="5" t="s">
        <v>33</v>
      </c>
      <c r="S21" s="4">
        <v>5.99</v>
      </c>
      <c r="T21" s="4">
        <v>3.25</v>
      </c>
      <c r="U21" s="1" t="s">
        <v>149</v>
      </c>
      <c r="V21" s="5" t="s">
        <v>33</v>
      </c>
      <c r="W21" s="4">
        <v>3.49</v>
      </c>
      <c r="X21" s="4">
        <v>1.9</v>
      </c>
    </row>
  </sheetData>
  <sheetProtection algorithmName="SHA-512" hashValue="VluvrZItJuKdGlTm51WLiTplz6Kb7awhRQQI+B+Ey8GleWX4S6kwcFdAxj92YfnrymrteOd6g50Nir/wM473cA==" saltValue="6WqX8x1atsxg9zHE1uPNzA==" spinCount="100000" sheet="1" objects="1" scenarios="1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160FB-29CD-42D1-858D-F89C482F670E}">
  <dimension ref="A1:M1201"/>
  <sheetViews>
    <sheetView tabSelected="1" topLeftCell="A877" workbookViewId="0">
      <selection activeCell="F1159" sqref="F1159"/>
    </sheetView>
  </sheetViews>
  <sheetFormatPr defaultRowHeight="15"/>
  <cols>
    <col min="1" max="1" width="13.28515625" bestFit="1" customWidth="1"/>
    <col min="2" max="2" width="15.5703125" bestFit="1" customWidth="1"/>
    <col min="3" max="3" width="32.42578125" bestFit="1" customWidth="1"/>
    <col min="4" max="4" width="7.7109375" bestFit="1" customWidth="1"/>
    <col min="5" max="5" width="15.42578125" style="3" customWidth="1"/>
    <col min="6" max="6" width="12.42578125" customWidth="1"/>
    <col min="7" max="7" width="20" bestFit="1" customWidth="1"/>
    <col min="8" max="8" width="13.5703125" bestFit="1" customWidth="1"/>
    <col min="9" max="9" width="23.28515625" bestFit="1" customWidth="1"/>
    <col min="10" max="10" width="18.85546875" bestFit="1" customWidth="1"/>
    <col min="11" max="11" width="21.5703125" bestFit="1" customWidth="1"/>
    <col min="12" max="12" width="18" style="13" bestFit="1" customWidth="1"/>
  </cols>
  <sheetData>
    <row r="1" spans="1:13">
      <c r="A1" t="s">
        <v>150</v>
      </c>
      <c r="B1" t="s">
        <v>151</v>
      </c>
      <c r="C1" t="s">
        <v>152</v>
      </c>
      <c r="D1" t="s">
        <v>25</v>
      </c>
      <c r="E1" t="s">
        <v>153</v>
      </c>
      <c r="F1" t="s">
        <v>21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s="13" t="s">
        <v>159</v>
      </c>
      <c r="M1" t="s">
        <v>160</v>
      </c>
    </row>
    <row r="2" spans="1:13">
      <c r="A2" t="s">
        <v>5</v>
      </c>
      <c r="B2" t="s">
        <v>161</v>
      </c>
      <c r="C2" t="s">
        <v>28</v>
      </c>
      <c r="D2" t="s">
        <v>29</v>
      </c>
      <c r="E2" s="3">
        <v>0.35</v>
      </c>
      <c r="F2" s="3">
        <v>0.38500000000000001</v>
      </c>
      <c r="G2">
        <v>1.95</v>
      </c>
      <c r="H2" s="3">
        <v>0.6825</v>
      </c>
      <c r="I2">
        <v>152</v>
      </c>
      <c r="J2">
        <v>2</v>
      </c>
      <c r="K2">
        <v>86</v>
      </c>
      <c r="L2" s="13">
        <f>(Table2[[#This Row],[STARTING INVENTORY]]-Table2[[#This Row],[ENDING INVENTORY]])/(Table2[[#This Row],[STARTING INVENTORY]])</f>
        <v>0.43421052631578949</v>
      </c>
      <c r="M2">
        <f>Table2[[#This Row],[STARTING INVENTORY]]-Table2[[#This Row],[ENDING INVENTORY]]</f>
        <v>66</v>
      </c>
    </row>
    <row r="3" spans="1:13">
      <c r="A3" t="s">
        <v>5</v>
      </c>
      <c r="B3" t="s">
        <v>161</v>
      </c>
      <c r="C3" t="s">
        <v>36</v>
      </c>
      <c r="D3" t="s">
        <v>29</v>
      </c>
      <c r="E3" s="3">
        <v>0.85</v>
      </c>
      <c r="F3" s="3">
        <v>0.93500000000000005</v>
      </c>
      <c r="G3">
        <v>1.96</v>
      </c>
      <c r="H3" s="3">
        <v>1.6659999999999999</v>
      </c>
      <c r="I3">
        <v>142</v>
      </c>
      <c r="J3">
        <v>0</v>
      </c>
      <c r="K3">
        <v>48</v>
      </c>
      <c r="L3" s="13">
        <f>(Table2[[#This Row],[STARTING INVENTORY]]-Table2[[#This Row],[ENDING INVENTORY]])/(Table2[[#This Row],[STARTING INVENTORY]])</f>
        <v>0.6619718309859155</v>
      </c>
      <c r="M3">
        <f>Table2[[#This Row],[STARTING INVENTORY]]-Table2[[#This Row],[ENDING INVENTORY]]</f>
        <v>94</v>
      </c>
    </row>
    <row r="4" spans="1:13">
      <c r="A4" t="s">
        <v>5</v>
      </c>
      <c r="B4" t="s">
        <v>161</v>
      </c>
      <c r="C4" t="s">
        <v>42</v>
      </c>
      <c r="D4" t="s">
        <v>29</v>
      </c>
      <c r="E4" s="3">
        <v>0.7</v>
      </c>
      <c r="F4" s="3">
        <v>0.77</v>
      </c>
      <c r="G4">
        <v>1.98</v>
      </c>
      <c r="H4" s="3">
        <v>1.3859999999999999</v>
      </c>
      <c r="I4">
        <v>64</v>
      </c>
      <c r="J4">
        <v>7</v>
      </c>
      <c r="K4">
        <v>18</v>
      </c>
      <c r="L4" s="13">
        <f>(Table2[[#This Row],[STARTING INVENTORY]]-Table2[[#This Row],[ENDING INVENTORY]])/(Table2[[#This Row],[STARTING INVENTORY]])</f>
        <v>0.71875</v>
      </c>
      <c r="M4">
        <f>Table2[[#This Row],[STARTING INVENTORY]]-Table2[[#This Row],[ENDING INVENTORY]]</f>
        <v>46</v>
      </c>
    </row>
    <row r="5" spans="1:13">
      <c r="A5" t="s">
        <v>5</v>
      </c>
      <c r="B5" t="s">
        <v>161</v>
      </c>
      <c r="C5" t="s">
        <v>48</v>
      </c>
      <c r="D5" t="s">
        <v>33</v>
      </c>
      <c r="E5" s="3">
        <v>0.35</v>
      </c>
      <c r="F5" s="3">
        <v>0.38500000000000001</v>
      </c>
      <c r="G5">
        <v>1.98</v>
      </c>
      <c r="H5" s="3">
        <v>0.69299999999999995</v>
      </c>
      <c r="I5">
        <v>156</v>
      </c>
      <c r="J5">
        <v>0</v>
      </c>
      <c r="K5">
        <v>114</v>
      </c>
      <c r="L5" s="13">
        <f>(Table2[[#This Row],[STARTING INVENTORY]]-Table2[[#This Row],[ENDING INVENTORY]])/(Table2[[#This Row],[STARTING INVENTORY]])</f>
        <v>0.26923076923076922</v>
      </c>
      <c r="M5">
        <f>Table2[[#This Row],[STARTING INVENTORY]]-Table2[[#This Row],[ENDING INVENTORY]]</f>
        <v>42</v>
      </c>
    </row>
    <row r="6" spans="1:13">
      <c r="A6" t="s">
        <v>5</v>
      </c>
      <c r="B6" t="s">
        <v>161</v>
      </c>
      <c r="C6" t="s">
        <v>54</v>
      </c>
      <c r="D6" t="s">
        <v>33</v>
      </c>
      <c r="E6" s="3">
        <v>0.2</v>
      </c>
      <c r="F6" s="3">
        <v>0.22000000000000003</v>
      </c>
      <c r="G6">
        <v>2.06</v>
      </c>
      <c r="H6" s="3">
        <v>0.41200000000000003</v>
      </c>
      <c r="I6">
        <v>121</v>
      </c>
      <c r="J6">
        <v>2</v>
      </c>
      <c r="K6">
        <v>88</v>
      </c>
      <c r="L6" s="13">
        <f>(Table2[[#This Row],[STARTING INVENTORY]]-Table2[[#This Row],[ENDING INVENTORY]])/(Table2[[#This Row],[STARTING INVENTORY]])</f>
        <v>0.27272727272727271</v>
      </c>
      <c r="M6">
        <f>Table2[[#This Row],[STARTING INVENTORY]]-Table2[[#This Row],[ENDING INVENTORY]]</f>
        <v>33</v>
      </c>
    </row>
    <row r="7" spans="1:13">
      <c r="A7" t="s">
        <v>5</v>
      </c>
      <c r="B7" t="s">
        <v>161</v>
      </c>
      <c r="C7" t="s">
        <v>60</v>
      </c>
      <c r="D7" t="s">
        <v>33</v>
      </c>
      <c r="E7" s="3">
        <v>0.75</v>
      </c>
      <c r="F7" s="3">
        <v>0.82500000000000007</v>
      </c>
      <c r="G7">
        <v>2.06</v>
      </c>
      <c r="H7" s="3">
        <v>1.5449999999999999</v>
      </c>
      <c r="I7">
        <v>70</v>
      </c>
      <c r="J7">
        <v>0</v>
      </c>
      <c r="K7">
        <v>11</v>
      </c>
      <c r="L7" s="13">
        <f>(Table2[[#This Row],[STARTING INVENTORY]]-Table2[[#This Row],[ENDING INVENTORY]])/(Table2[[#This Row],[STARTING INVENTORY]])</f>
        <v>0.84285714285714286</v>
      </c>
      <c r="M7">
        <f>Table2[[#This Row],[STARTING INVENTORY]]-Table2[[#This Row],[ENDING INVENTORY]]</f>
        <v>59</v>
      </c>
    </row>
    <row r="8" spans="1:13">
      <c r="A8" t="s">
        <v>5</v>
      </c>
      <c r="B8" t="s">
        <v>161</v>
      </c>
      <c r="C8" t="s">
        <v>66</v>
      </c>
      <c r="D8" t="s">
        <v>29</v>
      </c>
      <c r="E8" s="3">
        <v>0.6</v>
      </c>
      <c r="F8" s="3">
        <v>0.66</v>
      </c>
      <c r="G8">
        <v>2.0099999999999998</v>
      </c>
      <c r="H8" s="3">
        <v>1.2059999999999997</v>
      </c>
      <c r="I8">
        <v>152</v>
      </c>
      <c r="J8">
        <v>0</v>
      </c>
      <c r="K8">
        <v>116</v>
      </c>
      <c r="L8" s="13">
        <f>(Table2[[#This Row],[STARTING INVENTORY]]-Table2[[#This Row],[ENDING INVENTORY]])/(Table2[[#This Row],[STARTING INVENTORY]])</f>
        <v>0.23684210526315788</v>
      </c>
      <c r="M8">
        <f>Table2[[#This Row],[STARTING INVENTORY]]-Table2[[#This Row],[ENDING INVENTORY]]</f>
        <v>36</v>
      </c>
    </row>
    <row r="9" spans="1:13">
      <c r="A9" t="s">
        <v>5</v>
      </c>
      <c r="B9" t="s">
        <v>161</v>
      </c>
      <c r="C9" t="s">
        <v>72</v>
      </c>
      <c r="D9" t="s">
        <v>29</v>
      </c>
      <c r="E9" s="3">
        <v>0.45</v>
      </c>
      <c r="F9" s="3">
        <v>0.49500000000000005</v>
      </c>
      <c r="G9">
        <v>1.98</v>
      </c>
      <c r="H9" s="3">
        <v>0.89100000000000001</v>
      </c>
      <c r="I9">
        <v>171</v>
      </c>
      <c r="J9">
        <v>1</v>
      </c>
      <c r="K9">
        <v>126</v>
      </c>
      <c r="L9" s="13">
        <f>(Table2[[#This Row],[STARTING INVENTORY]]-Table2[[#This Row],[ENDING INVENTORY]])/(Table2[[#This Row],[STARTING INVENTORY]])</f>
        <v>0.26315789473684209</v>
      </c>
      <c r="M9">
        <f>Table2[[#This Row],[STARTING INVENTORY]]-Table2[[#This Row],[ENDING INVENTORY]]</f>
        <v>45</v>
      </c>
    </row>
    <row r="10" spans="1:13">
      <c r="A10" t="s">
        <v>5</v>
      </c>
      <c r="B10" t="s">
        <v>161</v>
      </c>
      <c r="C10" t="s">
        <v>78</v>
      </c>
      <c r="D10" t="s">
        <v>29</v>
      </c>
      <c r="E10" s="3">
        <v>0.4</v>
      </c>
      <c r="F10" s="3">
        <v>0.44000000000000006</v>
      </c>
      <c r="G10">
        <v>2.02</v>
      </c>
      <c r="H10" s="3">
        <v>0.80800000000000005</v>
      </c>
      <c r="I10">
        <v>124</v>
      </c>
      <c r="J10">
        <v>5</v>
      </c>
      <c r="K10">
        <v>105</v>
      </c>
      <c r="L10" s="13">
        <f>(Table2[[#This Row],[STARTING INVENTORY]]-Table2[[#This Row],[ENDING INVENTORY]])/(Table2[[#This Row],[STARTING INVENTORY]])</f>
        <v>0.15322580645161291</v>
      </c>
      <c r="M10">
        <f>Table2[[#This Row],[STARTING INVENTORY]]-Table2[[#This Row],[ENDING INVENTORY]]</f>
        <v>19</v>
      </c>
    </row>
    <row r="11" spans="1:13">
      <c r="A11" t="s">
        <v>5</v>
      </c>
      <c r="B11" t="s">
        <v>161</v>
      </c>
      <c r="C11" t="s">
        <v>84</v>
      </c>
      <c r="D11" t="s">
        <v>29</v>
      </c>
      <c r="E11" s="3">
        <v>0.35</v>
      </c>
      <c r="F11" s="3">
        <v>0.38500000000000001</v>
      </c>
      <c r="G11">
        <v>1.96</v>
      </c>
      <c r="H11" s="3">
        <v>0.68599999999999994</v>
      </c>
      <c r="I11">
        <v>137</v>
      </c>
      <c r="J11">
        <v>1</v>
      </c>
      <c r="K11">
        <v>70</v>
      </c>
      <c r="L11" s="13">
        <f>(Table2[[#This Row],[STARTING INVENTORY]]-Table2[[#This Row],[ENDING INVENTORY]])/(Table2[[#This Row],[STARTING INVENTORY]])</f>
        <v>0.48905109489051096</v>
      </c>
      <c r="M11">
        <f>Table2[[#This Row],[STARTING INVENTORY]]-Table2[[#This Row],[ENDING INVENTORY]]</f>
        <v>67</v>
      </c>
    </row>
    <row r="12" spans="1:13">
      <c r="A12" t="s">
        <v>5</v>
      </c>
      <c r="B12" t="s">
        <v>161</v>
      </c>
      <c r="C12" t="s">
        <v>90</v>
      </c>
      <c r="D12" t="s">
        <v>29</v>
      </c>
      <c r="E12" s="3">
        <v>0.9</v>
      </c>
      <c r="F12" s="3">
        <v>0.9900000000000001</v>
      </c>
      <c r="G12">
        <v>2.08</v>
      </c>
      <c r="H12" s="3">
        <v>1.8720000000000001</v>
      </c>
      <c r="I12">
        <v>166</v>
      </c>
      <c r="J12">
        <v>0</v>
      </c>
      <c r="K12">
        <v>85</v>
      </c>
      <c r="L12" s="13">
        <f>(Table2[[#This Row],[STARTING INVENTORY]]-Table2[[#This Row],[ENDING INVENTORY]])/(Table2[[#This Row],[STARTING INVENTORY]])</f>
        <v>0.48795180722891568</v>
      </c>
      <c r="M12">
        <f>Table2[[#This Row],[STARTING INVENTORY]]-Table2[[#This Row],[ENDING INVENTORY]]</f>
        <v>81</v>
      </c>
    </row>
    <row r="13" spans="1:13">
      <c r="A13" t="s">
        <v>5</v>
      </c>
      <c r="B13" t="s">
        <v>161</v>
      </c>
      <c r="C13" t="s">
        <v>96</v>
      </c>
      <c r="D13" t="s">
        <v>33</v>
      </c>
      <c r="E13" s="3">
        <v>1</v>
      </c>
      <c r="F13" s="3">
        <v>1.1000000000000001</v>
      </c>
      <c r="G13">
        <v>2.0099999999999998</v>
      </c>
      <c r="H13" s="3">
        <v>2.0099999999999998</v>
      </c>
      <c r="I13">
        <v>149</v>
      </c>
      <c r="J13">
        <v>0</v>
      </c>
      <c r="K13">
        <v>32</v>
      </c>
      <c r="L13" s="13">
        <f>(Table2[[#This Row],[STARTING INVENTORY]]-Table2[[#This Row],[ENDING INVENTORY]])/(Table2[[#This Row],[STARTING INVENTORY]])</f>
        <v>0.78523489932885904</v>
      </c>
      <c r="M13">
        <f>Table2[[#This Row],[STARTING INVENTORY]]-Table2[[#This Row],[ENDING INVENTORY]]</f>
        <v>117</v>
      </c>
    </row>
    <row r="14" spans="1:13">
      <c r="A14" t="s">
        <v>5</v>
      </c>
      <c r="B14" t="s">
        <v>161</v>
      </c>
      <c r="C14" t="s">
        <v>102</v>
      </c>
      <c r="D14" t="s">
        <v>29</v>
      </c>
      <c r="E14" s="3">
        <v>2.56</v>
      </c>
      <c r="F14" s="3">
        <v>2.8160000000000003</v>
      </c>
      <c r="G14">
        <v>2.0300000000000002</v>
      </c>
      <c r="H14" s="3">
        <v>5.1968000000000005</v>
      </c>
      <c r="I14">
        <v>153</v>
      </c>
      <c r="J14">
        <v>2</v>
      </c>
      <c r="K14">
        <v>80</v>
      </c>
      <c r="L14" s="13">
        <f>(Table2[[#This Row],[STARTING INVENTORY]]-Table2[[#This Row],[ENDING INVENTORY]])/(Table2[[#This Row],[STARTING INVENTORY]])</f>
        <v>0.47712418300653597</v>
      </c>
      <c r="M14">
        <f>Table2[[#This Row],[STARTING INVENTORY]]-Table2[[#This Row],[ENDING INVENTORY]]</f>
        <v>73</v>
      </c>
    </row>
    <row r="15" spans="1:13">
      <c r="A15" t="s">
        <v>5</v>
      </c>
      <c r="B15" t="s">
        <v>161</v>
      </c>
      <c r="C15" t="s">
        <v>108</v>
      </c>
      <c r="D15" t="s">
        <v>29</v>
      </c>
      <c r="E15" s="3">
        <v>0.75</v>
      </c>
      <c r="F15" s="3">
        <v>0.82500000000000007</v>
      </c>
      <c r="G15">
        <v>2.08</v>
      </c>
      <c r="H15" s="3">
        <v>1.56</v>
      </c>
      <c r="I15">
        <v>180</v>
      </c>
      <c r="J15">
        <v>9</v>
      </c>
      <c r="K15">
        <v>151</v>
      </c>
      <c r="L15" s="13">
        <f>(Table2[[#This Row],[STARTING INVENTORY]]-Table2[[#This Row],[ENDING INVENTORY]])/(Table2[[#This Row],[STARTING INVENTORY]])</f>
        <v>0.16111111111111112</v>
      </c>
      <c r="M15">
        <f>Table2[[#This Row],[STARTING INVENTORY]]-Table2[[#This Row],[ENDING INVENTORY]]</f>
        <v>29</v>
      </c>
    </row>
    <row r="16" spans="1:13">
      <c r="A16" t="s">
        <v>5</v>
      </c>
      <c r="B16" t="s">
        <v>161</v>
      </c>
      <c r="C16" t="s">
        <v>114</v>
      </c>
      <c r="D16" t="s">
        <v>33</v>
      </c>
      <c r="E16" s="3">
        <v>0.4</v>
      </c>
      <c r="F16" s="3">
        <v>0.44000000000000006</v>
      </c>
      <c r="G16">
        <v>1.95</v>
      </c>
      <c r="H16" s="3">
        <v>0.78</v>
      </c>
      <c r="I16">
        <v>199</v>
      </c>
      <c r="J16">
        <v>2</v>
      </c>
      <c r="K16">
        <v>60</v>
      </c>
      <c r="L16" s="13">
        <f>(Table2[[#This Row],[STARTING INVENTORY]]-Table2[[#This Row],[ENDING INVENTORY]])/(Table2[[#This Row],[STARTING INVENTORY]])</f>
        <v>0.69849246231155782</v>
      </c>
      <c r="M16">
        <f>Table2[[#This Row],[STARTING INVENTORY]]-Table2[[#This Row],[ENDING INVENTORY]]</f>
        <v>139</v>
      </c>
    </row>
    <row r="17" spans="1:13">
      <c r="A17" t="s">
        <v>5</v>
      </c>
      <c r="B17" t="s">
        <v>161</v>
      </c>
      <c r="C17" t="s">
        <v>120</v>
      </c>
      <c r="D17" t="s">
        <v>29</v>
      </c>
      <c r="E17" s="3">
        <v>1.4</v>
      </c>
      <c r="F17" s="3">
        <v>1.54</v>
      </c>
      <c r="G17">
        <v>2.02</v>
      </c>
      <c r="H17" s="3">
        <v>2.8279999999999998</v>
      </c>
      <c r="I17">
        <v>102</v>
      </c>
      <c r="J17">
        <v>2</v>
      </c>
      <c r="K17">
        <v>60</v>
      </c>
      <c r="L17" s="13">
        <f>(Table2[[#This Row],[STARTING INVENTORY]]-Table2[[#This Row],[ENDING INVENTORY]])/(Table2[[#This Row],[STARTING INVENTORY]])</f>
        <v>0.41176470588235292</v>
      </c>
      <c r="M17">
        <f>Table2[[#This Row],[STARTING INVENTORY]]-Table2[[#This Row],[ENDING INVENTORY]]</f>
        <v>42</v>
      </c>
    </row>
    <row r="18" spans="1:13">
      <c r="A18" t="s">
        <v>5</v>
      </c>
      <c r="B18" t="s">
        <v>161</v>
      </c>
      <c r="C18" t="s">
        <v>126</v>
      </c>
      <c r="D18" t="s">
        <v>29</v>
      </c>
      <c r="E18" s="3">
        <v>2</v>
      </c>
      <c r="F18" s="3">
        <v>2.2000000000000002</v>
      </c>
      <c r="G18">
        <v>2.0700000000000003</v>
      </c>
      <c r="H18" s="3">
        <v>4.1400000000000006</v>
      </c>
      <c r="I18">
        <v>51</v>
      </c>
      <c r="J18">
        <v>6</v>
      </c>
      <c r="K18">
        <v>33</v>
      </c>
      <c r="L18" s="13">
        <f>(Table2[[#This Row],[STARTING INVENTORY]]-Table2[[#This Row],[ENDING INVENTORY]])/(Table2[[#This Row],[STARTING INVENTORY]])</f>
        <v>0.35294117647058826</v>
      </c>
      <c r="M18">
        <f>Table2[[#This Row],[STARTING INVENTORY]]-Table2[[#This Row],[ENDING INVENTORY]]</f>
        <v>18</v>
      </c>
    </row>
    <row r="19" spans="1:13">
      <c r="A19" t="s">
        <v>5</v>
      </c>
      <c r="B19" t="s">
        <v>161</v>
      </c>
      <c r="C19" t="s">
        <v>132</v>
      </c>
      <c r="D19" t="s">
        <v>29</v>
      </c>
      <c r="E19" s="3">
        <v>0.45</v>
      </c>
      <c r="F19" s="3">
        <v>0.49500000000000005</v>
      </c>
      <c r="G19">
        <v>2.1</v>
      </c>
      <c r="H19" s="3">
        <v>0.94500000000000006</v>
      </c>
      <c r="I19">
        <v>137</v>
      </c>
      <c r="J19">
        <v>2</v>
      </c>
      <c r="K19">
        <v>27</v>
      </c>
      <c r="L19" s="13">
        <f>(Table2[[#This Row],[STARTING INVENTORY]]-Table2[[#This Row],[ENDING INVENTORY]])/(Table2[[#This Row],[STARTING INVENTORY]])</f>
        <v>0.8029197080291971</v>
      </c>
      <c r="M19">
        <f>Table2[[#This Row],[STARTING INVENTORY]]-Table2[[#This Row],[ENDING INVENTORY]]</f>
        <v>110</v>
      </c>
    </row>
    <row r="20" spans="1:13">
      <c r="A20" t="s">
        <v>5</v>
      </c>
      <c r="B20" t="s">
        <v>161</v>
      </c>
      <c r="C20" t="s">
        <v>138</v>
      </c>
      <c r="D20" t="s">
        <v>33</v>
      </c>
      <c r="E20" s="3">
        <v>1.9</v>
      </c>
      <c r="F20" s="3">
        <v>2.09</v>
      </c>
      <c r="G20">
        <v>1.95</v>
      </c>
      <c r="H20" s="3">
        <v>3.7049999999999996</v>
      </c>
      <c r="I20">
        <v>87</v>
      </c>
      <c r="J20">
        <v>0</v>
      </c>
      <c r="K20">
        <v>57</v>
      </c>
      <c r="L20" s="13">
        <f>(Table2[[#This Row],[STARTING INVENTORY]]-Table2[[#This Row],[ENDING INVENTORY]])/(Table2[[#This Row],[STARTING INVENTORY]])</f>
        <v>0.34482758620689657</v>
      </c>
      <c r="M20">
        <f>Table2[[#This Row],[STARTING INVENTORY]]-Table2[[#This Row],[ENDING INVENTORY]]</f>
        <v>30</v>
      </c>
    </row>
    <row r="21" spans="1:13">
      <c r="A21" t="s">
        <v>5</v>
      </c>
      <c r="B21" t="s">
        <v>161</v>
      </c>
      <c r="C21" t="s">
        <v>144</v>
      </c>
      <c r="D21" t="s">
        <v>33</v>
      </c>
      <c r="E21" s="3">
        <v>4</v>
      </c>
      <c r="F21" s="3">
        <v>4.4000000000000004</v>
      </c>
      <c r="G21">
        <v>1.99</v>
      </c>
      <c r="H21" s="3">
        <v>7.96</v>
      </c>
      <c r="I21">
        <v>179</v>
      </c>
      <c r="J21">
        <v>1</v>
      </c>
      <c r="K21">
        <v>42</v>
      </c>
      <c r="L21" s="13">
        <f>(Table2[[#This Row],[STARTING INVENTORY]]-Table2[[#This Row],[ENDING INVENTORY]])/(Table2[[#This Row],[STARTING INVENTORY]])</f>
        <v>0.76536312849162014</v>
      </c>
      <c r="M21">
        <f>Table2[[#This Row],[STARTING INVENTORY]]-Table2[[#This Row],[ENDING INVENTORY]]</f>
        <v>137</v>
      </c>
    </row>
    <row r="22" spans="1:13">
      <c r="A22" t="s">
        <v>5</v>
      </c>
      <c r="B22" t="s">
        <v>162</v>
      </c>
      <c r="C22" t="s">
        <v>30</v>
      </c>
      <c r="D22" t="s">
        <v>29</v>
      </c>
      <c r="E22" s="3">
        <v>2.85</v>
      </c>
      <c r="F22" s="3">
        <v>3.1350000000000002</v>
      </c>
      <c r="G22">
        <v>1.99</v>
      </c>
      <c r="H22" s="3">
        <v>5.6715</v>
      </c>
      <c r="I22">
        <v>83</v>
      </c>
      <c r="J22">
        <v>1</v>
      </c>
      <c r="K22">
        <v>40</v>
      </c>
      <c r="L22" s="13">
        <f>(Table2[[#This Row],[STARTING INVENTORY]]-Table2[[#This Row],[ENDING INVENTORY]])/(Table2[[#This Row],[STARTING INVENTORY]])</f>
        <v>0.51807228915662651</v>
      </c>
      <c r="M22">
        <f>Table2[[#This Row],[STARTING INVENTORY]]-Table2[[#This Row],[ENDING INVENTORY]]</f>
        <v>43</v>
      </c>
    </row>
    <row r="23" spans="1:13">
      <c r="A23" t="s">
        <v>5</v>
      </c>
      <c r="B23" t="s">
        <v>162</v>
      </c>
      <c r="C23" t="s">
        <v>37</v>
      </c>
      <c r="D23" t="s">
        <v>29</v>
      </c>
      <c r="E23" s="3">
        <v>2.5</v>
      </c>
      <c r="F23" s="3">
        <v>2.75</v>
      </c>
      <c r="G23">
        <v>2</v>
      </c>
      <c r="H23" s="3">
        <v>5</v>
      </c>
      <c r="I23">
        <v>79</v>
      </c>
      <c r="J23">
        <v>1</v>
      </c>
      <c r="K23">
        <v>38</v>
      </c>
      <c r="L23" s="13">
        <f>(Table2[[#This Row],[STARTING INVENTORY]]-Table2[[#This Row],[ENDING INVENTORY]])/(Table2[[#This Row],[STARTING INVENTORY]])</f>
        <v>0.51898734177215189</v>
      </c>
      <c r="M23">
        <f>Table2[[#This Row],[STARTING INVENTORY]]-Table2[[#This Row],[ENDING INVENTORY]]</f>
        <v>41</v>
      </c>
    </row>
    <row r="24" spans="1:13">
      <c r="A24" t="s">
        <v>5</v>
      </c>
      <c r="B24" t="s">
        <v>162</v>
      </c>
      <c r="C24" t="s">
        <v>43</v>
      </c>
      <c r="D24" t="s">
        <v>29</v>
      </c>
      <c r="E24" s="3">
        <v>2.1</v>
      </c>
      <c r="F24" s="3">
        <v>2.3100000000000005</v>
      </c>
      <c r="G24">
        <v>2.0300000000000002</v>
      </c>
      <c r="H24" s="3">
        <v>4.2630000000000008</v>
      </c>
      <c r="I24">
        <v>40</v>
      </c>
      <c r="J24">
        <v>1</v>
      </c>
      <c r="K24">
        <v>21</v>
      </c>
      <c r="L24" s="13">
        <f>(Table2[[#This Row],[STARTING INVENTORY]]-Table2[[#This Row],[ENDING INVENTORY]])/(Table2[[#This Row],[STARTING INVENTORY]])</f>
        <v>0.47499999999999998</v>
      </c>
      <c r="M24">
        <f>Table2[[#This Row],[STARTING INVENTORY]]-Table2[[#This Row],[ENDING INVENTORY]]</f>
        <v>19</v>
      </c>
    </row>
    <row r="25" spans="1:13">
      <c r="A25" t="s">
        <v>5</v>
      </c>
      <c r="B25" t="s">
        <v>162</v>
      </c>
      <c r="C25" t="s">
        <v>49</v>
      </c>
      <c r="D25" t="s">
        <v>29</v>
      </c>
      <c r="E25" s="3">
        <v>1</v>
      </c>
      <c r="F25" s="3">
        <v>1.1000000000000001</v>
      </c>
      <c r="G25">
        <v>2.0300000000000002</v>
      </c>
      <c r="H25" s="3">
        <v>2.0300000000000002</v>
      </c>
      <c r="I25">
        <v>52</v>
      </c>
      <c r="J25">
        <v>5</v>
      </c>
      <c r="K25">
        <v>16</v>
      </c>
      <c r="L25" s="13">
        <f>(Table2[[#This Row],[STARTING INVENTORY]]-Table2[[#This Row],[ENDING INVENTORY]])/(Table2[[#This Row],[STARTING INVENTORY]])</f>
        <v>0.69230769230769229</v>
      </c>
      <c r="M25">
        <f>Table2[[#This Row],[STARTING INVENTORY]]-Table2[[#This Row],[ENDING INVENTORY]]</f>
        <v>36</v>
      </c>
    </row>
    <row r="26" spans="1:13">
      <c r="A26" t="s">
        <v>5</v>
      </c>
      <c r="B26" t="s">
        <v>162</v>
      </c>
      <c r="C26" t="s">
        <v>55</v>
      </c>
      <c r="D26" t="s">
        <v>29</v>
      </c>
      <c r="E26" s="3">
        <v>0.9</v>
      </c>
      <c r="F26" s="3">
        <v>0.9900000000000001</v>
      </c>
      <c r="G26">
        <v>2.0300000000000002</v>
      </c>
      <c r="H26" s="3">
        <v>1.8270000000000002</v>
      </c>
      <c r="I26">
        <v>95</v>
      </c>
      <c r="J26">
        <v>1</v>
      </c>
      <c r="K26">
        <v>69</v>
      </c>
      <c r="L26" s="13">
        <f>(Table2[[#This Row],[STARTING INVENTORY]]-Table2[[#This Row],[ENDING INVENTORY]])/(Table2[[#This Row],[STARTING INVENTORY]])</f>
        <v>0.27368421052631581</v>
      </c>
      <c r="M26">
        <f>Table2[[#This Row],[STARTING INVENTORY]]-Table2[[#This Row],[ENDING INVENTORY]]</f>
        <v>26</v>
      </c>
    </row>
    <row r="27" spans="1:13">
      <c r="A27" t="s">
        <v>5</v>
      </c>
      <c r="B27" t="s">
        <v>162</v>
      </c>
      <c r="C27" t="s">
        <v>61</v>
      </c>
      <c r="D27" t="s">
        <v>29</v>
      </c>
      <c r="E27" s="3">
        <v>1.9</v>
      </c>
      <c r="F27" s="3">
        <v>2.09</v>
      </c>
      <c r="G27">
        <v>1.97</v>
      </c>
      <c r="H27" s="3">
        <v>3.7429999999999999</v>
      </c>
      <c r="I27">
        <v>77</v>
      </c>
      <c r="J27">
        <v>2</v>
      </c>
      <c r="K27">
        <v>69</v>
      </c>
      <c r="L27" s="13">
        <f>(Table2[[#This Row],[STARTING INVENTORY]]-Table2[[#This Row],[ENDING INVENTORY]])/(Table2[[#This Row],[STARTING INVENTORY]])</f>
        <v>0.1038961038961039</v>
      </c>
      <c r="M27">
        <f>Table2[[#This Row],[STARTING INVENTORY]]-Table2[[#This Row],[ENDING INVENTORY]]</f>
        <v>8</v>
      </c>
    </row>
    <row r="28" spans="1:13">
      <c r="A28" t="s">
        <v>5</v>
      </c>
      <c r="B28" t="s">
        <v>162</v>
      </c>
      <c r="C28" t="s">
        <v>67</v>
      </c>
      <c r="D28" t="s">
        <v>29</v>
      </c>
      <c r="E28" s="3">
        <v>1.3</v>
      </c>
      <c r="F28" s="3">
        <v>1.4300000000000002</v>
      </c>
      <c r="G28">
        <v>2.0700000000000003</v>
      </c>
      <c r="H28" s="3">
        <v>2.6910000000000003</v>
      </c>
      <c r="I28">
        <v>41</v>
      </c>
      <c r="J28">
        <v>3</v>
      </c>
      <c r="K28">
        <v>33</v>
      </c>
      <c r="L28" s="13">
        <f>(Table2[[#This Row],[STARTING INVENTORY]]-Table2[[#This Row],[ENDING INVENTORY]])/(Table2[[#This Row],[STARTING INVENTORY]])</f>
        <v>0.1951219512195122</v>
      </c>
      <c r="M28">
        <f>Table2[[#This Row],[STARTING INVENTORY]]-Table2[[#This Row],[ENDING INVENTORY]]</f>
        <v>8</v>
      </c>
    </row>
    <row r="29" spans="1:13">
      <c r="A29" t="s">
        <v>5</v>
      </c>
      <c r="B29" t="s">
        <v>162</v>
      </c>
      <c r="C29" t="s">
        <v>73</v>
      </c>
      <c r="D29" t="s">
        <v>29</v>
      </c>
      <c r="E29" s="3">
        <v>4</v>
      </c>
      <c r="F29" s="3">
        <v>4.4000000000000004</v>
      </c>
      <c r="G29">
        <v>2.0300000000000002</v>
      </c>
      <c r="H29" s="3">
        <v>8.120000000000001</v>
      </c>
      <c r="I29">
        <v>68</v>
      </c>
      <c r="J29">
        <v>1</v>
      </c>
      <c r="K29">
        <v>64</v>
      </c>
      <c r="L29" s="13">
        <f>(Table2[[#This Row],[STARTING INVENTORY]]-Table2[[#This Row],[ENDING INVENTORY]])/(Table2[[#This Row],[STARTING INVENTORY]])</f>
        <v>5.8823529411764705E-2</v>
      </c>
      <c r="M29">
        <f>Table2[[#This Row],[STARTING INVENTORY]]-Table2[[#This Row],[ENDING INVENTORY]]</f>
        <v>4</v>
      </c>
    </row>
    <row r="30" spans="1:13">
      <c r="A30" t="s">
        <v>5</v>
      </c>
      <c r="B30" t="s">
        <v>162</v>
      </c>
      <c r="C30" t="s">
        <v>79</v>
      </c>
      <c r="D30" t="s">
        <v>29</v>
      </c>
      <c r="E30" s="3">
        <v>2.2000000000000002</v>
      </c>
      <c r="F30" s="3">
        <v>2.4200000000000004</v>
      </c>
      <c r="G30">
        <v>2.06</v>
      </c>
      <c r="H30" s="3">
        <v>4.5320000000000009</v>
      </c>
      <c r="I30">
        <v>78</v>
      </c>
      <c r="J30">
        <v>5</v>
      </c>
      <c r="K30">
        <v>73</v>
      </c>
      <c r="L30" s="13">
        <f>(Table2[[#This Row],[STARTING INVENTORY]]-Table2[[#This Row],[ENDING INVENTORY]])/(Table2[[#This Row],[STARTING INVENTORY]])</f>
        <v>6.4102564102564097E-2</v>
      </c>
      <c r="M30">
        <f>Table2[[#This Row],[STARTING INVENTORY]]-Table2[[#This Row],[ENDING INVENTORY]]</f>
        <v>5</v>
      </c>
    </row>
    <row r="31" spans="1:13">
      <c r="A31" t="s">
        <v>5</v>
      </c>
      <c r="B31" t="s">
        <v>162</v>
      </c>
      <c r="C31" t="s">
        <v>85</v>
      </c>
      <c r="D31" t="s">
        <v>29</v>
      </c>
      <c r="E31" s="3">
        <v>2.75</v>
      </c>
      <c r="F31" s="3">
        <v>3.0250000000000004</v>
      </c>
      <c r="G31">
        <v>2.06</v>
      </c>
      <c r="H31" s="3">
        <v>5.665</v>
      </c>
      <c r="I31">
        <v>61</v>
      </c>
      <c r="J31">
        <v>2</v>
      </c>
      <c r="K31">
        <v>20</v>
      </c>
      <c r="L31" s="13">
        <f>(Table2[[#This Row],[STARTING INVENTORY]]-Table2[[#This Row],[ENDING INVENTORY]])/(Table2[[#This Row],[STARTING INVENTORY]])</f>
        <v>0.67213114754098358</v>
      </c>
      <c r="M31">
        <f>Table2[[#This Row],[STARTING INVENTORY]]-Table2[[#This Row],[ENDING INVENTORY]]</f>
        <v>41</v>
      </c>
    </row>
    <row r="32" spans="1:13">
      <c r="A32" t="s">
        <v>5</v>
      </c>
      <c r="B32" t="s">
        <v>162</v>
      </c>
      <c r="C32" t="s">
        <v>91</v>
      </c>
      <c r="D32" t="s">
        <v>29</v>
      </c>
      <c r="E32" s="3">
        <v>3.5</v>
      </c>
      <c r="F32" s="3">
        <v>3.8500000000000005</v>
      </c>
      <c r="G32">
        <v>2.08</v>
      </c>
      <c r="H32" s="3">
        <v>7.28</v>
      </c>
      <c r="I32">
        <v>79</v>
      </c>
      <c r="J32">
        <v>1</v>
      </c>
      <c r="K32">
        <v>4</v>
      </c>
      <c r="L32" s="13">
        <f>(Table2[[#This Row],[STARTING INVENTORY]]-Table2[[#This Row],[ENDING INVENTORY]])/(Table2[[#This Row],[STARTING INVENTORY]])</f>
        <v>0.94936708860759489</v>
      </c>
      <c r="M32">
        <f>Table2[[#This Row],[STARTING INVENTORY]]-Table2[[#This Row],[ENDING INVENTORY]]</f>
        <v>75</v>
      </c>
    </row>
    <row r="33" spans="1:13">
      <c r="A33" t="s">
        <v>5</v>
      </c>
      <c r="B33" t="s">
        <v>162</v>
      </c>
      <c r="C33" t="s">
        <v>97</v>
      </c>
      <c r="D33" t="s">
        <v>29</v>
      </c>
      <c r="E33" s="3">
        <v>8</v>
      </c>
      <c r="F33" s="3">
        <v>8.8000000000000007</v>
      </c>
      <c r="G33">
        <v>2.06</v>
      </c>
      <c r="H33" s="3">
        <v>16.48</v>
      </c>
      <c r="I33">
        <v>99</v>
      </c>
      <c r="J33">
        <v>4</v>
      </c>
      <c r="K33">
        <v>1</v>
      </c>
      <c r="L33" s="13">
        <f>(Table2[[#This Row],[STARTING INVENTORY]]-Table2[[#This Row],[ENDING INVENTORY]])/(Table2[[#This Row],[STARTING INVENTORY]])</f>
        <v>0.98989898989898994</v>
      </c>
      <c r="M33">
        <f>Table2[[#This Row],[STARTING INVENTORY]]-Table2[[#This Row],[ENDING INVENTORY]]</f>
        <v>98</v>
      </c>
    </row>
    <row r="34" spans="1:13">
      <c r="A34" t="s">
        <v>5</v>
      </c>
      <c r="B34" t="s">
        <v>162</v>
      </c>
      <c r="C34" t="s">
        <v>103</v>
      </c>
      <c r="D34" t="s">
        <v>29</v>
      </c>
      <c r="E34" s="3">
        <v>7</v>
      </c>
      <c r="F34" s="3">
        <v>7.7000000000000011</v>
      </c>
      <c r="G34">
        <v>1.97</v>
      </c>
      <c r="H34" s="3">
        <v>13.79</v>
      </c>
      <c r="I34">
        <v>34</v>
      </c>
      <c r="J34">
        <v>2</v>
      </c>
      <c r="K34">
        <v>21</v>
      </c>
      <c r="L34" s="13">
        <f>(Table2[[#This Row],[STARTING INVENTORY]]-Table2[[#This Row],[ENDING INVENTORY]])/(Table2[[#This Row],[STARTING INVENTORY]])</f>
        <v>0.38235294117647056</v>
      </c>
      <c r="M34">
        <f>Table2[[#This Row],[STARTING INVENTORY]]-Table2[[#This Row],[ENDING INVENTORY]]</f>
        <v>13</v>
      </c>
    </row>
    <row r="35" spans="1:13">
      <c r="A35" t="s">
        <v>5</v>
      </c>
      <c r="B35" t="s">
        <v>162</v>
      </c>
      <c r="C35" t="s">
        <v>109</v>
      </c>
      <c r="D35" t="s">
        <v>29</v>
      </c>
      <c r="E35" s="3">
        <v>1.8</v>
      </c>
      <c r="F35" s="3">
        <v>1.9800000000000002</v>
      </c>
      <c r="G35">
        <v>2.06</v>
      </c>
      <c r="H35" s="3">
        <v>3.7080000000000002</v>
      </c>
      <c r="I35">
        <v>81</v>
      </c>
      <c r="J35">
        <v>2</v>
      </c>
      <c r="K35">
        <v>56</v>
      </c>
      <c r="L35" s="13">
        <f>(Table2[[#This Row],[STARTING INVENTORY]]-Table2[[#This Row],[ENDING INVENTORY]])/(Table2[[#This Row],[STARTING INVENTORY]])</f>
        <v>0.30864197530864196</v>
      </c>
      <c r="M35">
        <f>Table2[[#This Row],[STARTING INVENTORY]]-Table2[[#This Row],[ENDING INVENTORY]]</f>
        <v>25</v>
      </c>
    </row>
    <row r="36" spans="1:13">
      <c r="A36" t="s">
        <v>5</v>
      </c>
      <c r="B36" t="s">
        <v>162</v>
      </c>
      <c r="C36" t="s">
        <v>115</v>
      </c>
      <c r="D36" t="s">
        <v>29</v>
      </c>
      <c r="E36" s="3">
        <v>9</v>
      </c>
      <c r="F36" s="3">
        <v>9.9</v>
      </c>
      <c r="G36">
        <v>2.1</v>
      </c>
      <c r="H36" s="3">
        <v>18.900000000000002</v>
      </c>
      <c r="I36">
        <v>81</v>
      </c>
      <c r="J36">
        <v>2</v>
      </c>
      <c r="K36">
        <v>65</v>
      </c>
      <c r="L36" s="13">
        <f>(Table2[[#This Row],[STARTING INVENTORY]]-Table2[[#This Row],[ENDING INVENTORY]])/(Table2[[#This Row],[STARTING INVENTORY]])</f>
        <v>0.19753086419753085</v>
      </c>
      <c r="M36">
        <f>Table2[[#This Row],[STARTING INVENTORY]]-Table2[[#This Row],[ENDING INVENTORY]]</f>
        <v>16</v>
      </c>
    </row>
    <row r="37" spans="1:13">
      <c r="A37" t="s">
        <v>5</v>
      </c>
      <c r="B37" t="s">
        <v>162</v>
      </c>
      <c r="C37" t="s">
        <v>121</v>
      </c>
      <c r="D37" t="s">
        <v>29</v>
      </c>
      <c r="E37" s="3">
        <v>0.95</v>
      </c>
      <c r="F37" s="3">
        <v>1.0449999999999999</v>
      </c>
      <c r="G37">
        <v>1.96</v>
      </c>
      <c r="H37" s="3">
        <v>1.8619999999999999</v>
      </c>
      <c r="I37">
        <v>66</v>
      </c>
      <c r="J37">
        <v>2</v>
      </c>
      <c r="K37">
        <v>15</v>
      </c>
      <c r="L37" s="13">
        <f>(Table2[[#This Row],[STARTING INVENTORY]]-Table2[[#This Row],[ENDING INVENTORY]])/(Table2[[#This Row],[STARTING INVENTORY]])</f>
        <v>0.77272727272727271</v>
      </c>
      <c r="M37">
        <f>Table2[[#This Row],[STARTING INVENTORY]]-Table2[[#This Row],[ENDING INVENTORY]]</f>
        <v>51</v>
      </c>
    </row>
    <row r="38" spans="1:13">
      <c r="A38" t="s">
        <v>5</v>
      </c>
      <c r="B38" t="s">
        <v>162</v>
      </c>
      <c r="C38" t="s">
        <v>127</v>
      </c>
      <c r="D38" t="s">
        <v>29</v>
      </c>
      <c r="E38" s="3">
        <v>1.85</v>
      </c>
      <c r="F38" s="3">
        <v>2.0350000000000001</v>
      </c>
      <c r="G38">
        <v>2</v>
      </c>
      <c r="H38" s="3">
        <v>3.7</v>
      </c>
      <c r="I38">
        <v>81</v>
      </c>
      <c r="J38">
        <v>4</v>
      </c>
      <c r="K38">
        <v>50</v>
      </c>
      <c r="L38" s="13">
        <f>(Table2[[#This Row],[STARTING INVENTORY]]-Table2[[#This Row],[ENDING INVENTORY]])/(Table2[[#This Row],[STARTING INVENTORY]])</f>
        <v>0.38271604938271603</v>
      </c>
      <c r="M38">
        <f>Table2[[#This Row],[STARTING INVENTORY]]-Table2[[#This Row],[ENDING INVENTORY]]</f>
        <v>31</v>
      </c>
    </row>
    <row r="39" spans="1:13">
      <c r="A39" t="s">
        <v>5</v>
      </c>
      <c r="B39" t="s">
        <v>162</v>
      </c>
      <c r="C39" t="s">
        <v>133</v>
      </c>
      <c r="D39" t="s">
        <v>29</v>
      </c>
      <c r="E39" s="3">
        <v>5.5</v>
      </c>
      <c r="F39" s="3">
        <v>6.0500000000000007</v>
      </c>
      <c r="G39">
        <v>2.1</v>
      </c>
      <c r="H39" s="3">
        <v>11.55</v>
      </c>
      <c r="I39">
        <v>70</v>
      </c>
      <c r="J39">
        <v>0</v>
      </c>
      <c r="K39">
        <v>38</v>
      </c>
      <c r="L39" s="13">
        <f>(Table2[[#This Row],[STARTING INVENTORY]]-Table2[[#This Row],[ENDING INVENTORY]])/(Table2[[#This Row],[STARTING INVENTORY]])</f>
        <v>0.45714285714285713</v>
      </c>
      <c r="M39">
        <f>Table2[[#This Row],[STARTING INVENTORY]]-Table2[[#This Row],[ENDING INVENTORY]]</f>
        <v>32</v>
      </c>
    </row>
    <row r="40" spans="1:13">
      <c r="A40" t="s">
        <v>5</v>
      </c>
      <c r="B40" t="s">
        <v>162</v>
      </c>
      <c r="C40" t="s">
        <v>139</v>
      </c>
      <c r="D40" t="s">
        <v>29</v>
      </c>
      <c r="E40" s="3">
        <v>1.9</v>
      </c>
      <c r="F40" s="3">
        <v>2.09</v>
      </c>
      <c r="G40">
        <v>2.08</v>
      </c>
      <c r="H40" s="3">
        <v>3.952</v>
      </c>
      <c r="I40">
        <v>74</v>
      </c>
      <c r="J40">
        <v>1</v>
      </c>
      <c r="K40">
        <v>39</v>
      </c>
      <c r="L40" s="13">
        <f>(Table2[[#This Row],[STARTING INVENTORY]]-Table2[[#This Row],[ENDING INVENTORY]])/(Table2[[#This Row],[STARTING INVENTORY]])</f>
        <v>0.47297297297297297</v>
      </c>
      <c r="M40">
        <f>Table2[[#This Row],[STARTING INVENTORY]]-Table2[[#This Row],[ENDING INVENTORY]]</f>
        <v>35</v>
      </c>
    </row>
    <row r="41" spans="1:13">
      <c r="A41" t="s">
        <v>5</v>
      </c>
      <c r="B41" t="s">
        <v>162</v>
      </c>
      <c r="C41" t="s">
        <v>145</v>
      </c>
      <c r="D41" t="s">
        <v>29</v>
      </c>
      <c r="E41" s="3">
        <v>2.75</v>
      </c>
      <c r="F41" s="3">
        <v>3.0250000000000004</v>
      </c>
      <c r="G41">
        <v>2.04</v>
      </c>
      <c r="H41" s="3">
        <v>5.61</v>
      </c>
      <c r="I41">
        <v>83</v>
      </c>
      <c r="J41">
        <v>0</v>
      </c>
      <c r="K41">
        <v>37</v>
      </c>
      <c r="L41" s="13">
        <f>(Table2[[#This Row],[STARTING INVENTORY]]-Table2[[#This Row],[ENDING INVENTORY]])/(Table2[[#This Row],[STARTING INVENTORY]])</f>
        <v>0.55421686746987953</v>
      </c>
      <c r="M41">
        <f>Table2[[#This Row],[STARTING INVENTORY]]-Table2[[#This Row],[ENDING INVENTORY]]</f>
        <v>46</v>
      </c>
    </row>
    <row r="42" spans="1:13">
      <c r="A42" t="s">
        <v>5</v>
      </c>
      <c r="B42" t="s">
        <v>163</v>
      </c>
      <c r="C42" t="s">
        <v>32</v>
      </c>
      <c r="D42" t="s">
        <v>33</v>
      </c>
      <c r="E42" s="3">
        <v>3.25</v>
      </c>
      <c r="F42" s="3">
        <v>3.5750000000000002</v>
      </c>
      <c r="G42">
        <v>1.97</v>
      </c>
      <c r="H42" s="3">
        <v>6.4024999999999999</v>
      </c>
      <c r="I42">
        <v>52</v>
      </c>
      <c r="J42">
        <v>4</v>
      </c>
      <c r="K42">
        <v>9</v>
      </c>
      <c r="L42" s="13">
        <f>(Table2[[#This Row],[STARTING INVENTORY]]-Table2[[#This Row],[ENDING INVENTORY]])/(Table2[[#This Row],[STARTING INVENTORY]])</f>
        <v>0.82692307692307687</v>
      </c>
      <c r="M42">
        <f>Table2[[#This Row],[STARTING INVENTORY]]-Table2[[#This Row],[ENDING INVENTORY]]</f>
        <v>43</v>
      </c>
    </row>
    <row r="43" spans="1:13">
      <c r="A43" t="s">
        <v>5</v>
      </c>
      <c r="B43" t="s">
        <v>163</v>
      </c>
      <c r="C43" t="s">
        <v>39</v>
      </c>
      <c r="D43" t="s">
        <v>33</v>
      </c>
      <c r="E43" s="3">
        <v>0.9</v>
      </c>
      <c r="F43" s="3">
        <v>0.9900000000000001</v>
      </c>
      <c r="G43">
        <v>1.97</v>
      </c>
      <c r="H43" s="3">
        <v>1.7729999999999999</v>
      </c>
      <c r="I43">
        <v>150</v>
      </c>
      <c r="J43">
        <v>1</v>
      </c>
      <c r="K43">
        <v>98</v>
      </c>
      <c r="L43" s="13">
        <f>(Table2[[#This Row],[STARTING INVENTORY]]-Table2[[#This Row],[ENDING INVENTORY]])/(Table2[[#This Row],[STARTING INVENTORY]])</f>
        <v>0.34666666666666668</v>
      </c>
      <c r="M43">
        <f>Table2[[#This Row],[STARTING INVENTORY]]-Table2[[#This Row],[ENDING INVENTORY]]</f>
        <v>52</v>
      </c>
    </row>
    <row r="44" spans="1:13">
      <c r="A44" t="s">
        <v>5</v>
      </c>
      <c r="B44" t="s">
        <v>163</v>
      </c>
      <c r="C44" t="s">
        <v>45</v>
      </c>
      <c r="D44" t="s">
        <v>33</v>
      </c>
      <c r="E44" s="3">
        <v>1.6</v>
      </c>
      <c r="F44" s="3">
        <v>1.7600000000000002</v>
      </c>
      <c r="G44">
        <v>1.98</v>
      </c>
      <c r="H44" s="3">
        <v>3.1680000000000001</v>
      </c>
      <c r="I44">
        <v>100</v>
      </c>
      <c r="J44">
        <v>6</v>
      </c>
      <c r="K44">
        <v>63</v>
      </c>
      <c r="L44" s="13">
        <f>(Table2[[#This Row],[STARTING INVENTORY]]-Table2[[#This Row],[ENDING INVENTORY]])/(Table2[[#This Row],[STARTING INVENTORY]])</f>
        <v>0.37</v>
      </c>
      <c r="M44">
        <f>Table2[[#This Row],[STARTING INVENTORY]]-Table2[[#This Row],[ENDING INVENTORY]]</f>
        <v>37</v>
      </c>
    </row>
    <row r="45" spans="1:13">
      <c r="A45" t="s">
        <v>5</v>
      </c>
      <c r="B45" t="s">
        <v>163</v>
      </c>
      <c r="C45" t="s">
        <v>51</v>
      </c>
      <c r="D45" t="s">
        <v>33</v>
      </c>
      <c r="E45" s="3">
        <v>1.1000000000000001</v>
      </c>
      <c r="F45" s="3">
        <v>1.2100000000000002</v>
      </c>
      <c r="G45">
        <v>2.04</v>
      </c>
      <c r="H45" s="3">
        <v>2.2440000000000002</v>
      </c>
      <c r="I45">
        <v>56</v>
      </c>
      <c r="J45">
        <v>2</v>
      </c>
      <c r="K45">
        <v>50</v>
      </c>
      <c r="L45" s="13">
        <f>(Table2[[#This Row],[STARTING INVENTORY]]-Table2[[#This Row],[ENDING INVENTORY]])/(Table2[[#This Row],[STARTING INVENTORY]])</f>
        <v>0.10714285714285714</v>
      </c>
      <c r="M45">
        <f>Table2[[#This Row],[STARTING INVENTORY]]-Table2[[#This Row],[ENDING INVENTORY]]</f>
        <v>6</v>
      </c>
    </row>
    <row r="46" spans="1:13">
      <c r="A46" t="s">
        <v>5</v>
      </c>
      <c r="B46" t="s">
        <v>163</v>
      </c>
      <c r="C46" t="s">
        <v>57</v>
      </c>
      <c r="D46" t="s">
        <v>33</v>
      </c>
      <c r="E46" s="3">
        <v>0.95</v>
      </c>
      <c r="F46" s="3">
        <v>1.0449999999999999</v>
      </c>
      <c r="G46">
        <v>1.99</v>
      </c>
      <c r="H46" s="3">
        <v>1.8904999999999998</v>
      </c>
      <c r="I46">
        <v>70</v>
      </c>
      <c r="J46">
        <v>5</v>
      </c>
      <c r="K46">
        <v>62</v>
      </c>
      <c r="L46" s="13">
        <f>(Table2[[#This Row],[STARTING INVENTORY]]-Table2[[#This Row],[ENDING INVENTORY]])/(Table2[[#This Row],[STARTING INVENTORY]])</f>
        <v>0.11428571428571428</v>
      </c>
      <c r="M46">
        <f>Table2[[#This Row],[STARTING INVENTORY]]-Table2[[#This Row],[ENDING INVENTORY]]</f>
        <v>8</v>
      </c>
    </row>
    <row r="47" spans="1:13">
      <c r="A47" t="s">
        <v>5</v>
      </c>
      <c r="B47" t="s">
        <v>163</v>
      </c>
      <c r="C47" t="s">
        <v>63</v>
      </c>
      <c r="D47" t="s">
        <v>33</v>
      </c>
      <c r="E47" s="3">
        <v>2.75</v>
      </c>
      <c r="F47" s="3">
        <v>3.0250000000000004</v>
      </c>
      <c r="G47">
        <v>2.09</v>
      </c>
      <c r="H47" s="3">
        <v>5.7474999999999996</v>
      </c>
      <c r="I47">
        <v>122</v>
      </c>
      <c r="J47">
        <v>9</v>
      </c>
      <c r="K47">
        <v>48</v>
      </c>
      <c r="L47" s="13">
        <f>(Table2[[#This Row],[STARTING INVENTORY]]-Table2[[#This Row],[ENDING INVENTORY]])/(Table2[[#This Row],[STARTING INVENTORY]])</f>
        <v>0.60655737704918034</v>
      </c>
      <c r="M47">
        <f>Table2[[#This Row],[STARTING INVENTORY]]-Table2[[#This Row],[ENDING INVENTORY]]</f>
        <v>74</v>
      </c>
    </row>
    <row r="48" spans="1:13">
      <c r="A48" t="s">
        <v>5</v>
      </c>
      <c r="B48" t="s">
        <v>163</v>
      </c>
      <c r="C48" t="s">
        <v>69</v>
      </c>
      <c r="D48" t="s">
        <v>33</v>
      </c>
      <c r="E48" s="3">
        <v>1.9</v>
      </c>
      <c r="F48" s="3">
        <v>2.09</v>
      </c>
      <c r="G48">
        <v>1.96</v>
      </c>
      <c r="H48" s="3">
        <v>3.7239999999999998</v>
      </c>
      <c r="I48">
        <v>88</v>
      </c>
      <c r="J48">
        <v>5</v>
      </c>
      <c r="K48">
        <v>63</v>
      </c>
      <c r="L48" s="13">
        <f>(Table2[[#This Row],[STARTING INVENTORY]]-Table2[[#This Row],[ENDING INVENTORY]])/(Table2[[#This Row],[STARTING INVENTORY]])</f>
        <v>0.28409090909090912</v>
      </c>
      <c r="M48">
        <f>Table2[[#This Row],[STARTING INVENTORY]]-Table2[[#This Row],[ENDING INVENTORY]]</f>
        <v>25</v>
      </c>
    </row>
    <row r="49" spans="1:13">
      <c r="A49" t="s">
        <v>5</v>
      </c>
      <c r="B49" t="s">
        <v>163</v>
      </c>
      <c r="C49" t="s">
        <v>75</v>
      </c>
      <c r="D49" t="s">
        <v>33</v>
      </c>
      <c r="E49" s="3">
        <v>4</v>
      </c>
      <c r="F49" s="3">
        <v>4.4000000000000004</v>
      </c>
      <c r="G49">
        <v>2.02</v>
      </c>
      <c r="H49" s="3">
        <v>8.08</v>
      </c>
      <c r="I49">
        <v>67</v>
      </c>
      <c r="J49">
        <v>6</v>
      </c>
      <c r="K49">
        <v>31</v>
      </c>
      <c r="L49" s="13">
        <f>(Table2[[#This Row],[STARTING INVENTORY]]-Table2[[#This Row],[ENDING INVENTORY]])/(Table2[[#This Row],[STARTING INVENTORY]])</f>
        <v>0.53731343283582089</v>
      </c>
      <c r="M49">
        <f>Table2[[#This Row],[STARTING INVENTORY]]-Table2[[#This Row],[ENDING INVENTORY]]</f>
        <v>36</v>
      </c>
    </row>
    <row r="50" spans="1:13">
      <c r="A50" t="s">
        <v>5</v>
      </c>
      <c r="B50" t="s">
        <v>163</v>
      </c>
      <c r="C50" t="s">
        <v>81</v>
      </c>
      <c r="D50" t="s">
        <v>33</v>
      </c>
      <c r="E50" s="3">
        <v>0.8</v>
      </c>
      <c r="F50" s="3">
        <v>0.88000000000000012</v>
      </c>
      <c r="G50">
        <v>2.0300000000000002</v>
      </c>
      <c r="H50" s="3">
        <v>1.6240000000000003</v>
      </c>
      <c r="I50">
        <v>53</v>
      </c>
      <c r="J50">
        <v>1</v>
      </c>
      <c r="K50">
        <v>6</v>
      </c>
      <c r="L50" s="13">
        <f>(Table2[[#This Row],[STARTING INVENTORY]]-Table2[[#This Row],[ENDING INVENTORY]])/(Table2[[#This Row],[STARTING INVENTORY]])</f>
        <v>0.8867924528301887</v>
      </c>
      <c r="M50">
        <f>Table2[[#This Row],[STARTING INVENTORY]]-Table2[[#This Row],[ENDING INVENTORY]]</f>
        <v>47</v>
      </c>
    </row>
    <row r="51" spans="1:13">
      <c r="A51" t="s">
        <v>5</v>
      </c>
      <c r="B51" t="s">
        <v>163</v>
      </c>
      <c r="C51" t="s">
        <v>87</v>
      </c>
      <c r="D51" t="s">
        <v>33</v>
      </c>
      <c r="E51" s="3">
        <v>4.25</v>
      </c>
      <c r="F51" s="3">
        <v>4.6750000000000007</v>
      </c>
      <c r="G51">
        <v>1.99</v>
      </c>
      <c r="H51" s="3">
        <v>8.4574999999999996</v>
      </c>
      <c r="I51">
        <v>138</v>
      </c>
      <c r="J51">
        <v>2</v>
      </c>
      <c r="K51">
        <v>20</v>
      </c>
      <c r="L51" s="13">
        <f>(Table2[[#This Row],[STARTING INVENTORY]]-Table2[[#This Row],[ENDING INVENTORY]])/(Table2[[#This Row],[STARTING INVENTORY]])</f>
        <v>0.85507246376811596</v>
      </c>
      <c r="M51">
        <f>Table2[[#This Row],[STARTING INVENTORY]]-Table2[[#This Row],[ENDING INVENTORY]]</f>
        <v>118</v>
      </c>
    </row>
    <row r="52" spans="1:13">
      <c r="A52" t="s">
        <v>5</v>
      </c>
      <c r="B52" t="s">
        <v>163</v>
      </c>
      <c r="C52" t="s">
        <v>93</v>
      </c>
      <c r="D52" t="s">
        <v>33</v>
      </c>
      <c r="E52" s="3">
        <v>1.6</v>
      </c>
      <c r="F52" s="3">
        <v>1.7600000000000002</v>
      </c>
      <c r="G52">
        <v>2.04</v>
      </c>
      <c r="H52" s="3">
        <v>3.2640000000000002</v>
      </c>
      <c r="I52">
        <v>109</v>
      </c>
      <c r="J52">
        <v>1</v>
      </c>
      <c r="K52">
        <v>19</v>
      </c>
      <c r="L52" s="13">
        <f>(Table2[[#This Row],[STARTING INVENTORY]]-Table2[[#This Row],[ENDING INVENTORY]])/(Table2[[#This Row],[STARTING INVENTORY]])</f>
        <v>0.82568807339449546</v>
      </c>
      <c r="M52">
        <f>Table2[[#This Row],[STARTING INVENTORY]]-Table2[[#This Row],[ENDING INVENTORY]]</f>
        <v>90</v>
      </c>
    </row>
    <row r="53" spans="1:13">
      <c r="A53" t="s">
        <v>5</v>
      </c>
      <c r="B53" t="s">
        <v>163</v>
      </c>
      <c r="C53" t="s">
        <v>99</v>
      </c>
      <c r="D53" t="s">
        <v>33</v>
      </c>
      <c r="E53" s="3">
        <v>1.65</v>
      </c>
      <c r="F53" s="3">
        <v>1.8149999999999999</v>
      </c>
      <c r="G53">
        <v>1.96</v>
      </c>
      <c r="H53" s="3">
        <v>3.234</v>
      </c>
      <c r="I53">
        <v>63</v>
      </c>
      <c r="J53">
        <v>0</v>
      </c>
      <c r="K53">
        <v>25</v>
      </c>
      <c r="L53" s="13">
        <f>(Table2[[#This Row],[STARTING INVENTORY]]-Table2[[#This Row],[ENDING INVENTORY]])/(Table2[[#This Row],[STARTING INVENTORY]])</f>
        <v>0.60317460317460314</v>
      </c>
      <c r="M53">
        <f>Table2[[#This Row],[STARTING INVENTORY]]-Table2[[#This Row],[ENDING INVENTORY]]</f>
        <v>38</v>
      </c>
    </row>
    <row r="54" spans="1:13">
      <c r="A54" t="s">
        <v>5</v>
      </c>
      <c r="B54" t="s">
        <v>163</v>
      </c>
      <c r="C54" t="s">
        <v>105</v>
      </c>
      <c r="D54" t="s">
        <v>33</v>
      </c>
      <c r="E54" s="3">
        <v>2.2000000000000002</v>
      </c>
      <c r="F54" s="3">
        <v>2.4200000000000004</v>
      </c>
      <c r="G54">
        <v>2.0499999999999998</v>
      </c>
      <c r="H54" s="3">
        <v>4.51</v>
      </c>
      <c r="I54">
        <v>58</v>
      </c>
      <c r="J54">
        <v>2</v>
      </c>
      <c r="K54">
        <v>3</v>
      </c>
      <c r="L54" s="13">
        <f>(Table2[[#This Row],[STARTING INVENTORY]]-Table2[[#This Row],[ENDING INVENTORY]])/(Table2[[#This Row],[STARTING INVENTORY]])</f>
        <v>0.94827586206896552</v>
      </c>
      <c r="M54">
        <f>Table2[[#This Row],[STARTING INVENTORY]]-Table2[[#This Row],[ENDING INVENTORY]]</f>
        <v>55</v>
      </c>
    </row>
    <row r="55" spans="1:13">
      <c r="A55" t="s">
        <v>5</v>
      </c>
      <c r="B55" t="s">
        <v>163</v>
      </c>
      <c r="C55" t="s">
        <v>111</v>
      </c>
      <c r="D55" t="s">
        <v>33</v>
      </c>
      <c r="E55" s="3">
        <v>4</v>
      </c>
      <c r="F55" s="3">
        <v>4.4000000000000004</v>
      </c>
      <c r="G55">
        <v>2.09</v>
      </c>
      <c r="H55" s="3">
        <v>8.36</v>
      </c>
      <c r="I55">
        <v>139</v>
      </c>
      <c r="J55">
        <v>2</v>
      </c>
      <c r="K55">
        <v>109</v>
      </c>
      <c r="L55" s="13">
        <f>(Table2[[#This Row],[STARTING INVENTORY]]-Table2[[#This Row],[ENDING INVENTORY]])/(Table2[[#This Row],[STARTING INVENTORY]])</f>
        <v>0.21582733812949639</v>
      </c>
      <c r="M55">
        <f>Table2[[#This Row],[STARTING INVENTORY]]-Table2[[#This Row],[ENDING INVENTORY]]</f>
        <v>30</v>
      </c>
    </row>
    <row r="56" spans="1:13">
      <c r="A56" t="s">
        <v>5</v>
      </c>
      <c r="B56" t="s">
        <v>163</v>
      </c>
      <c r="C56" t="s">
        <v>117</v>
      </c>
      <c r="D56" t="s">
        <v>33</v>
      </c>
      <c r="E56" s="3">
        <v>5.25</v>
      </c>
      <c r="F56" s="3">
        <v>5.7750000000000004</v>
      </c>
      <c r="G56">
        <v>2.08</v>
      </c>
      <c r="H56" s="3">
        <v>10.92</v>
      </c>
      <c r="I56">
        <v>102</v>
      </c>
      <c r="J56">
        <v>1</v>
      </c>
      <c r="K56">
        <v>85</v>
      </c>
      <c r="L56" s="13">
        <f>(Table2[[#This Row],[STARTING INVENTORY]]-Table2[[#This Row],[ENDING INVENTORY]])/(Table2[[#This Row],[STARTING INVENTORY]])</f>
        <v>0.16666666666666666</v>
      </c>
      <c r="M56">
        <f>Table2[[#This Row],[STARTING INVENTORY]]-Table2[[#This Row],[ENDING INVENTORY]]</f>
        <v>17</v>
      </c>
    </row>
    <row r="57" spans="1:13">
      <c r="A57" t="s">
        <v>5</v>
      </c>
      <c r="B57" t="s">
        <v>163</v>
      </c>
      <c r="C57" t="s">
        <v>123</v>
      </c>
      <c r="D57" t="s">
        <v>33</v>
      </c>
      <c r="E57" s="3">
        <v>2</v>
      </c>
      <c r="F57" s="3">
        <v>2.2000000000000002</v>
      </c>
      <c r="G57">
        <v>1.97</v>
      </c>
      <c r="H57" s="3">
        <v>3.94</v>
      </c>
      <c r="I57">
        <v>51</v>
      </c>
      <c r="J57">
        <v>2</v>
      </c>
      <c r="K57">
        <v>14</v>
      </c>
      <c r="L57" s="13">
        <f>(Table2[[#This Row],[STARTING INVENTORY]]-Table2[[#This Row],[ENDING INVENTORY]])/(Table2[[#This Row],[STARTING INVENTORY]])</f>
        <v>0.72549019607843135</v>
      </c>
      <c r="M57">
        <f>Table2[[#This Row],[STARTING INVENTORY]]-Table2[[#This Row],[ENDING INVENTORY]]</f>
        <v>37</v>
      </c>
    </row>
    <row r="58" spans="1:13">
      <c r="A58" t="s">
        <v>5</v>
      </c>
      <c r="B58" t="s">
        <v>163</v>
      </c>
      <c r="C58" t="s">
        <v>129</v>
      </c>
      <c r="D58" t="s">
        <v>33</v>
      </c>
      <c r="E58" s="3">
        <v>2.8</v>
      </c>
      <c r="F58" s="3">
        <v>3.08</v>
      </c>
      <c r="G58">
        <v>1.99</v>
      </c>
      <c r="H58" s="3">
        <v>5.5720000000000001</v>
      </c>
      <c r="I58">
        <v>133</v>
      </c>
      <c r="J58">
        <v>6</v>
      </c>
      <c r="K58">
        <v>119</v>
      </c>
      <c r="L58" s="13">
        <f>(Table2[[#This Row],[STARTING INVENTORY]]-Table2[[#This Row],[ENDING INVENTORY]])/(Table2[[#This Row],[STARTING INVENTORY]])</f>
        <v>0.10526315789473684</v>
      </c>
      <c r="M58">
        <f>Table2[[#This Row],[STARTING INVENTORY]]-Table2[[#This Row],[ENDING INVENTORY]]</f>
        <v>14</v>
      </c>
    </row>
    <row r="59" spans="1:13">
      <c r="A59" t="s">
        <v>5</v>
      </c>
      <c r="B59" t="s">
        <v>163</v>
      </c>
      <c r="C59" t="s">
        <v>135</v>
      </c>
      <c r="D59" t="s">
        <v>33</v>
      </c>
      <c r="E59" s="3">
        <v>1.35</v>
      </c>
      <c r="F59" s="3">
        <v>1.4850000000000003</v>
      </c>
      <c r="G59">
        <v>2.04</v>
      </c>
      <c r="H59" s="3">
        <v>2.7540000000000004</v>
      </c>
      <c r="I59">
        <v>141</v>
      </c>
      <c r="J59">
        <v>2</v>
      </c>
      <c r="K59">
        <v>78</v>
      </c>
      <c r="L59" s="13">
        <f>(Table2[[#This Row],[STARTING INVENTORY]]-Table2[[#This Row],[ENDING INVENTORY]])/(Table2[[#This Row],[STARTING INVENTORY]])</f>
        <v>0.44680851063829785</v>
      </c>
      <c r="M59">
        <f>Table2[[#This Row],[STARTING INVENTORY]]-Table2[[#This Row],[ENDING INVENTORY]]</f>
        <v>63</v>
      </c>
    </row>
    <row r="60" spans="1:13">
      <c r="A60" t="s">
        <v>5</v>
      </c>
      <c r="B60" t="s">
        <v>163</v>
      </c>
      <c r="C60" t="s">
        <v>141</v>
      </c>
      <c r="D60" t="s">
        <v>33</v>
      </c>
      <c r="E60" s="3">
        <v>2.25</v>
      </c>
      <c r="F60" s="3">
        <v>2.4750000000000001</v>
      </c>
      <c r="G60">
        <v>2</v>
      </c>
      <c r="H60" s="3">
        <v>4.5</v>
      </c>
      <c r="I60">
        <v>109</v>
      </c>
      <c r="J60">
        <v>4</v>
      </c>
      <c r="K60">
        <v>85</v>
      </c>
      <c r="L60" s="13">
        <f>(Table2[[#This Row],[STARTING INVENTORY]]-Table2[[#This Row],[ENDING INVENTORY]])/(Table2[[#This Row],[STARTING INVENTORY]])</f>
        <v>0.22018348623853212</v>
      </c>
      <c r="M60">
        <f>Table2[[#This Row],[STARTING INVENTORY]]-Table2[[#This Row],[ENDING INVENTORY]]</f>
        <v>24</v>
      </c>
    </row>
    <row r="61" spans="1:13">
      <c r="A61" t="s">
        <v>5</v>
      </c>
      <c r="B61" t="s">
        <v>163</v>
      </c>
      <c r="C61" t="s">
        <v>147</v>
      </c>
      <c r="D61" t="s">
        <v>33</v>
      </c>
      <c r="E61" s="3">
        <v>2.8</v>
      </c>
      <c r="F61" s="3">
        <v>3.08</v>
      </c>
      <c r="G61">
        <v>2.02</v>
      </c>
      <c r="H61" s="3">
        <v>5.6559999999999997</v>
      </c>
      <c r="I61">
        <v>120</v>
      </c>
      <c r="J61">
        <v>5</v>
      </c>
      <c r="K61">
        <v>115</v>
      </c>
      <c r="L61" s="13">
        <f>(Table2[[#This Row],[STARTING INVENTORY]]-Table2[[#This Row],[ENDING INVENTORY]])/(Table2[[#This Row],[STARTING INVENTORY]])</f>
        <v>4.1666666666666664E-2</v>
      </c>
      <c r="M61">
        <f>Table2[[#This Row],[STARTING INVENTORY]]-Table2[[#This Row],[ENDING INVENTORY]]</f>
        <v>5</v>
      </c>
    </row>
    <row r="62" spans="1:13">
      <c r="A62" t="s">
        <v>5</v>
      </c>
      <c r="B62" t="s">
        <v>164</v>
      </c>
      <c r="C62" t="s">
        <v>31</v>
      </c>
      <c r="D62" t="s">
        <v>29</v>
      </c>
      <c r="E62" s="3">
        <v>5.25</v>
      </c>
      <c r="F62" s="3">
        <v>5.7750000000000004</v>
      </c>
      <c r="G62">
        <v>2.09</v>
      </c>
      <c r="H62" s="3">
        <v>10.9725</v>
      </c>
      <c r="I62">
        <v>73</v>
      </c>
      <c r="J62">
        <v>9</v>
      </c>
      <c r="K62">
        <v>13</v>
      </c>
      <c r="L62" s="13">
        <f>(Table2[[#This Row],[STARTING INVENTORY]]-Table2[[#This Row],[ENDING INVENTORY]])/(Table2[[#This Row],[STARTING INVENTORY]])</f>
        <v>0.82191780821917804</v>
      </c>
      <c r="M62">
        <f>Table2[[#This Row],[STARTING INVENTORY]]-Table2[[#This Row],[ENDING INVENTORY]]</f>
        <v>60</v>
      </c>
    </row>
    <row r="63" spans="1:13">
      <c r="A63" t="s">
        <v>5</v>
      </c>
      <c r="B63" t="s">
        <v>164</v>
      </c>
      <c r="C63" t="s">
        <v>38</v>
      </c>
      <c r="D63" t="s">
        <v>29</v>
      </c>
      <c r="E63" s="3">
        <v>4.75</v>
      </c>
      <c r="F63" s="3">
        <v>5.2250000000000005</v>
      </c>
      <c r="G63">
        <v>2.04</v>
      </c>
      <c r="H63" s="3">
        <v>9.69</v>
      </c>
      <c r="I63">
        <v>37</v>
      </c>
      <c r="J63">
        <v>3</v>
      </c>
      <c r="K63">
        <v>26</v>
      </c>
      <c r="L63" s="13">
        <f>(Table2[[#This Row],[STARTING INVENTORY]]-Table2[[#This Row],[ENDING INVENTORY]])/(Table2[[#This Row],[STARTING INVENTORY]])</f>
        <v>0.29729729729729731</v>
      </c>
      <c r="M63">
        <f>Table2[[#This Row],[STARTING INVENTORY]]-Table2[[#This Row],[ENDING INVENTORY]]</f>
        <v>11</v>
      </c>
    </row>
    <row r="64" spans="1:13">
      <c r="A64" t="s">
        <v>5</v>
      </c>
      <c r="B64" t="s">
        <v>164</v>
      </c>
      <c r="C64" t="s">
        <v>44</v>
      </c>
      <c r="D64" t="s">
        <v>29</v>
      </c>
      <c r="E64" s="3">
        <v>6.5</v>
      </c>
      <c r="F64" s="3">
        <v>7.15</v>
      </c>
      <c r="G64">
        <v>1.97</v>
      </c>
      <c r="H64" s="3">
        <v>12.805</v>
      </c>
      <c r="I64">
        <v>76</v>
      </c>
      <c r="J64">
        <v>5</v>
      </c>
      <c r="K64">
        <v>39</v>
      </c>
      <c r="L64" s="13">
        <f>(Table2[[#This Row],[STARTING INVENTORY]]-Table2[[#This Row],[ENDING INVENTORY]])/(Table2[[#This Row],[STARTING INVENTORY]])</f>
        <v>0.48684210526315791</v>
      </c>
      <c r="M64">
        <f>Table2[[#This Row],[STARTING INVENTORY]]-Table2[[#This Row],[ENDING INVENTORY]]</f>
        <v>37</v>
      </c>
    </row>
    <row r="65" spans="1:13">
      <c r="A65" t="s">
        <v>5</v>
      </c>
      <c r="B65" t="s">
        <v>164</v>
      </c>
      <c r="C65" t="s">
        <v>50</v>
      </c>
      <c r="D65" t="s">
        <v>29</v>
      </c>
      <c r="E65" s="3">
        <v>5.75</v>
      </c>
      <c r="F65" s="3">
        <v>6.3250000000000002</v>
      </c>
      <c r="G65">
        <v>2.0300000000000002</v>
      </c>
      <c r="H65" s="3">
        <v>11.672500000000001</v>
      </c>
      <c r="I65">
        <v>64</v>
      </c>
      <c r="J65">
        <v>8</v>
      </c>
      <c r="K65">
        <v>27</v>
      </c>
      <c r="L65" s="13">
        <f>(Table2[[#This Row],[STARTING INVENTORY]]-Table2[[#This Row],[ENDING INVENTORY]])/(Table2[[#This Row],[STARTING INVENTORY]])</f>
        <v>0.578125</v>
      </c>
      <c r="M65">
        <f>Table2[[#This Row],[STARTING INVENTORY]]-Table2[[#This Row],[ENDING INVENTORY]]</f>
        <v>37</v>
      </c>
    </row>
    <row r="66" spans="1:13">
      <c r="A66" t="s">
        <v>5</v>
      </c>
      <c r="B66" t="s">
        <v>164</v>
      </c>
      <c r="C66" t="s">
        <v>56</v>
      </c>
      <c r="D66" t="s">
        <v>29</v>
      </c>
      <c r="E66" s="3">
        <v>5.5</v>
      </c>
      <c r="F66" s="3">
        <v>6.0500000000000007</v>
      </c>
      <c r="G66">
        <v>1.97</v>
      </c>
      <c r="H66" s="3">
        <v>10.834999999999999</v>
      </c>
      <c r="I66">
        <v>107</v>
      </c>
      <c r="J66">
        <v>8</v>
      </c>
      <c r="K66">
        <v>25</v>
      </c>
      <c r="L66" s="13">
        <f>(Table2[[#This Row],[STARTING INVENTORY]]-Table2[[#This Row],[ENDING INVENTORY]])/(Table2[[#This Row],[STARTING INVENTORY]])</f>
        <v>0.76635514018691586</v>
      </c>
      <c r="M66">
        <f>Table2[[#This Row],[STARTING INVENTORY]]-Table2[[#This Row],[ENDING INVENTORY]]</f>
        <v>82</v>
      </c>
    </row>
    <row r="67" spans="1:13">
      <c r="A67" t="s">
        <v>5</v>
      </c>
      <c r="B67" t="s">
        <v>164</v>
      </c>
      <c r="C67" t="s">
        <v>62</v>
      </c>
      <c r="D67" t="s">
        <v>29</v>
      </c>
      <c r="E67" s="3">
        <v>4.25</v>
      </c>
      <c r="F67" s="3">
        <v>4.6750000000000007</v>
      </c>
      <c r="G67">
        <v>1.98</v>
      </c>
      <c r="H67" s="3">
        <v>8.4149999999999991</v>
      </c>
      <c r="I67">
        <v>110</v>
      </c>
      <c r="J67">
        <v>0</v>
      </c>
      <c r="K67">
        <v>62</v>
      </c>
      <c r="L67" s="13">
        <f>(Table2[[#This Row],[STARTING INVENTORY]]-Table2[[#This Row],[ENDING INVENTORY]])/(Table2[[#This Row],[STARTING INVENTORY]])</f>
        <v>0.43636363636363634</v>
      </c>
      <c r="M67">
        <f>Table2[[#This Row],[STARTING INVENTORY]]-Table2[[#This Row],[ENDING INVENTORY]]</f>
        <v>48</v>
      </c>
    </row>
    <row r="68" spans="1:13">
      <c r="A68" t="s">
        <v>5</v>
      </c>
      <c r="B68" t="s">
        <v>164</v>
      </c>
      <c r="C68" t="s">
        <v>68</v>
      </c>
      <c r="D68" t="s">
        <v>29</v>
      </c>
      <c r="E68" s="3">
        <v>5.0999999999999996</v>
      </c>
      <c r="F68" s="3">
        <v>5.61</v>
      </c>
      <c r="G68">
        <v>2.0099999999999998</v>
      </c>
      <c r="H68" s="3">
        <v>10.250999999999998</v>
      </c>
      <c r="I68">
        <v>65</v>
      </c>
      <c r="J68">
        <v>1</v>
      </c>
      <c r="K68">
        <v>24</v>
      </c>
      <c r="L68" s="13">
        <f>(Table2[[#This Row],[STARTING INVENTORY]]-Table2[[#This Row],[ENDING INVENTORY]])/(Table2[[#This Row],[STARTING INVENTORY]])</f>
        <v>0.63076923076923075</v>
      </c>
      <c r="M68">
        <f>Table2[[#This Row],[STARTING INVENTORY]]-Table2[[#This Row],[ENDING INVENTORY]]</f>
        <v>41</v>
      </c>
    </row>
    <row r="69" spans="1:13">
      <c r="A69" t="s">
        <v>5</v>
      </c>
      <c r="B69" t="s">
        <v>164</v>
      </c>
      <c r="C69" t="s">
        <v>74</v>
      </c>
      <c r="D69" t="s">
        <v>29</v>
      </c>
      <c r="E69" s="3">
        <v>2.8</v>
      </c>
      <c r="F69" s="3">
        <v>3.08</v>
      </c>
      <c r="G69">
        <v>2.0300000000000002</v>
      </c>
      <c r="H69" s="3">
        <v>5.6840000000000002</v>
      </c>
      <c r="I69">
        <v>79</v>
      </c>
      <c r="J69">
        <v>1</v>
      </c>
      <c r="K69">
        <v>2</v>
      </c>
      <c r="L69" s="13">
        <f>(Table2[[#This Row],[STARTING INVENTORY]]-Table2[[#This Row],[ENDING INVENTORY]])/(Table2[[#This Row],[STARTING INVENTORY]])</f>
        <v>0.97468354430379744</v>
      </c>
      <c r="M69">
        <f>Table2[[#This Row],[STARTING INVENTORY]]-Table2[[#This Row],[ENDING INVENTORY]]</f>
        <v>77</v>
      </c>
    </row>
    <row r="70" spans="1:13">
      <c r="A70" t="s">
        <v>5</v>
      </c>
      <c r="B70" t="s">
        <v>164</v>
      </c>
      <c r="C70" t="s">
        <v>80</v>
      </c>
      <c r="D70" t="s">
        <v>29</v>
      </c>
      <c r="E70" s="3">
        <v>4</v>
      </c>
      <c r="F70" s="3">
        <v>4.4000000000000004</v>
      </c>
      <c r="G70">
        <v>2.02</v>
      </c>
      <c r="H70" s="3">
        <v>8.08</v>
      </c>
      <c r="I70">
        <v>33</v>
      </c>
      <c r="J70">
        <v>0</v>
      </c>
      <c r="K70">
        <v>7</v>
      </c>
      <c r="L70" s="13">
        <f>(Table2[[#This Row],[STARTING INVENTORY]]-Table2[[#This Row],[ENDING INVENTORY]])/(Table2[[#This Row],[STARTING INVENTORY]])</f>
        <v>0.78787878787878785</v>
      </c>
      <c r="M70">
        <f>Table2[[#This Row],[STARTING INVENTORY]]-Table2[[#This Row],[ENDING INVENTORY]]</f>
        <v>26</v>
      </c>
    </row>
    <row r="71" spans="1:13">
      <c r="A71" t="s">
        <v>5</v>
      </c>
      <c r="B71" t="s">
        <v>164</v>
      </c>
      <c r="C71" t="s">
        <v>86</v>
      </c>
      <c r="D71" t="s">
        <v>29</v>
      </c>
      <c r="E71" s="3">
        <v>9</v>
      </c>
      <c r="F71" s="3">
        <v>9.9</v>
      </c>
      <c r="G71">
        <v>2.09</v>
      </c>
      <c r="H71" s="3">
        <v>18.809999999999999</v>
      </c>
      <c r="I71">
        <v>31</v>
      </c>
      <c r="J71">
        <v>3</v>
      </c>
      <c r="K71">
        <v>11</v>
      </c>
      <c r="L71" s="13">
        <f>(Table2[[#This Row],[STARTING INVENTORY]]-Table2[[#This Row],[ENDING INVENTORY]])/(Table2[[#This Row],[STARTING INVENTORY]])</f>
        <v>0.64516129032258063</v>
      </c>
      <c r="M71">
        <f>Table2[[#This Row],[STARTING INVENTORY]]-Table2[[#This Row],[ENDING INVENTORY]]</f>
        <v>20</v>
      </c>
    </row>
    <row r="72" spans="1:13">
      <c r="A72" t="s">
        <v>5</v>
      </c>
      <c r="B72" t="s">
        <v>164</v>
      </c>
      <c r="C72" t="s">
        <v>92</v>
      </c>
      <c r="D72" t="s">
        <v>29</v>
      </c>
      <c r="E72" s="3">
        <v>2.75</v>
      </c>
      <c r="F72" s="3">
        <v>3.0250000000000004</v>
      </c>
      <c r="G72">
        <v>2.0499999999999998</v>
      </c>
      <c r="H72" s="3">
        <v>5.6374999999999993</v>
      </c>
      <c r="I72">
        <v>35</v>
      </c>
      <c r="J72">
        <v>4</v>
      </c>
      <c r="K72">
        <v>0</v>
      </c>
      <c r="L72" s="13">
        <f>(Table2[[#This Row],[STARTING INVENTORY]]-Table2[[#This Row],[ENDING INVENTORY]])/(Table2[[#This Row],[STARTING INVENTORY]])</f>
        <v>1</v>
      </c>
      <c r="M72">
        <f>Table2[[#This Row],[STARTING INVENTORY]]-Table2[[#This Row],[ENDING INVENTORY]]</f>
        <v>35</v>
      </c>
    </row>
    <row r="73" spans="1:13">
      <c r="A73" t="s">
        <v>5</v>
      </c>
      <c r="B73" t="s">
        <v>164</v>
      </c>
      <c r="C73" t="s">
        <v>98</v>
      </c>
      <c r="D73" t="s">
        <v>29</v>
      </c>
      <c r="E73" s="3">
        <v>3.9</v>
      </c>
      <c r="F73" s="3">
        <v>4.29</v>
      </c>
      <c r="G73">
        <v>2.04</v>
      </c>
      <c r="H73" s="3">
        <v>7.9559999999999995</v>
      </c>
      <c r="I73">
        <v>83</v>
      </c>
      <c r="J73">
        <v>5</v>
      </c>
      <c r="K73">
        <v>41</v>
      </c>
      <c r="L73" s="13">
        <f>(Table2[[#This Row],[STARTING INVENTORY]]-Table2[[#This Row],[ENDING INVENTORY]])/(Table2[[#This Row],[STARTING INVENTORY]])</f>
        <v>0.50602409638554213</v>
      </c>
      <c r="M73">
        <f>Table2[[#This Row],[STARTING INVENTORY]]-Table2[[#This Row],[ENDING INVENTORY]]</f>
        <v>42</v>
      </c>
    </row>
    <row r="74" spans="1:13">
      <c r="A74" t="s">
        <v>5</v>
      </c>
      <c r="B74" t="s">
        <v>164</v>
      </c>
      <c r="C74" t="s">
        <v>104</v>
      </c>
      <c r="D74" t="s">
        <v>29</v>
      </c>
      <c r="E74" s="3">
        <v>4.3</v>
      </c>
      <c r="F74" s="3">
        <v>4.7300000000000004</v>
      </c>
      <c r="G74">
        <v>2</v>
      </c>
      <c r="H74" s="3">
        <v>8.6</v>
      </c>
      <c r="I74">
        <v>33</v>
      </c>
      <c r="J74">
        <v>0</v>
      </c>
      <c r="K74">
        <v>5</v>
      </c>
      <c r="L74" s="13">
        <f>(Table2[[#This Row],[STARTING INVENTORY]]-Table2[[#This Row],[ENDING INVENTORY]])/(Table2[[#This Row],[STARTING INVENTORY]])</f>
        <v>0.84848484848484851</v>
      </c>
      <c r="M74">
        <f>Table2[[#This Row],[STARTING INVENTORY]]-Table2[[#This Row],[ENDING INVENTORY]]</f>
        <v>28</v>
      </c>
    </row>
    <row r="75" spans="1:13">
      <c r="A75" t="s">
        <v>5</v>
      </c>
      <c r="B75" t="s">
        <v>164</v>
      </c>
      <c r="C75" t="s">
        <v>110</v>
      </c>
      <c r="D75" t="s">
        <v>29</v>
      </c>
      <c r="E75" s="3">
        <v>4</v>
      </c>
      <c r="F75" s="3">
        <v>4.4000000000000004</v>
      </c>
      <c r="G75">
        <v>1.95</v>
      </c>
      <c r="H75" s="3">
        <v>7.8</v>
      </c>
      <c r="I75">
        <v>83</v>
      </c>
      <c r="J75">
        <v>6</v>
      </c>
      <c r="K75">
        <v>38</v>
      </c>
      <c r="L75" s="13">
        <f>(Table2[[#This Row],[STARTING INVENTORY]]-Table2[[#This Row],[ENDING INVENTORY]])/(Table2[[#This Row],[STARTING INVENTORY]])</f>
        <v>0.54216867469879515</v>
      </c>
      <c r="M75">
        <f>Table2[[#This Row],[STARTING INVENTORY]]-Table2[[#This Row],[ENDING INVENTORY]]</f>
        <v>45</v>
      </c>
    </row>
    <row r="76" spans="1:13">
      <c r="A76" t="s">
        <v>5</v>
      </c>
      <c r="B76" t="s">
        <v>164</v>
      </c>
      <c r="C76" t="s">
        <v>116</v>
      </c>
      <c r="D76" t="s">
        <v>29</v>
      </c>
      <c r="E76" s="3">
        <v>4.75</v>
      </c>
      <c r="F76" s="3">
        <v>5.2250000000000005</v>
      </c>
      <c r="G76">
        <v>2.1</v>
      </c>
      <c r="H76" s="3">
        <v>9.9749999999999996</v>
      </c>
      <c r="I76">
        <v>92</v>
      </c>
      <c r="J76">
        <v>3</v>
      </c>
      <c r="K76">
        <v>51</v>
      </c>
      <c r="L76" s="13">
        <f>(Table2[[#This Row],[STARTING INVENTORY]]-Table2[[#This Row],[ENDING INVENTORY]])/(Table2[[#This Row],[STARTING INVENTORY]])</f>
        <v>0.44565217391304346</v>
      </c>
      <c r="M76">
        <f>Table2[[#This Row],[STARTING INVENTORY]]-Table2[[#This Row],[ENDING INVENTORY]]</f>
        <v>41</v>
      </c>
    </row>
    <row r="77" spans="1:13">
      <c r="A77" t="s">
        <v>5</v>
      </c>
      <c r="B77" t="s">
        <v>164</v>
      </c>
      <c r="C77" t="s">
        <v>122</v>
      </c>
      <c r="D77" t="s">
        <v>29</v>
      </c>
      <c r="E77" s="3">
        <v>2.25</v>
      </c>
      <c r="F77" s="3">
        <v>2.4750000000000001</v>
      </c>
      <c r="G77">
        <v>2.09</v>
      </c>
      <c r="H77" s="3">
        <v>4.7024999999999997</v>
      </c>
      <c r="I77">
        <v>47</v>
      </c>
      <c r="J77">
        <v>4</v>
      </c>
      <c r="K77">
        <v>22</v>
      </c>
      <c r="L77" s="13">
        <f>(Table2[[#This Row],[STARTING INVENTORY]]-Table2[[#This Row],[ENDING INVENTORY]])/(Table2[[#This Row],[STARTING INVENTORY]])</f>
        <v>0.53191489361702127</v>
      </c>
      <c r="M77">
        <f>Table2[[#This Row],[STARTING INVENTORY]]-Table2[[#This Row],[ENDING INVENTORY]]</f>
        <v>25</v>
      </c>
    </row>
    <row r="78" spans="1:13">
      <c r="A78" t="s">
        <v>5</v>
      </c>
      <c r="B78" t="s">
        <v>164</v>
      </c>
      <c r="C78" t="s">
        <v>128</v>
      </c>
      <c r="D78" t="s">
        <v>29</v>
      </c>
      <c r="E78" s="3">
        <v>2.1</v>
      </c>
      <c r="F78" s="3">
        <v>2.3100000000000005</v>
      </c>
      <c r="G78">
        <v>1.95</v>
      </c>
      <c r="H78" s="3">
        <v>4.0949999999999998</v>
      </c>
      <c r="I78">
        <v>119</v>
      </c>
      <c r="J78">
        <v>7</v>
      </c>
      <c r="K78">
        <v>88</v>
      </c>
      <c r="L78" s="13">
        <f>(Table2[[#This Row],[STARTING INVENTORY]]-Table2[[#This Row],[ENDING INVENTORY]])/(Table2[[#This Row],[STARTING INVENTORY]])</f>
        <v>0.26050420168067229</v>
      </c>
      <c r="M78">
        <f>Table2[[#This Row],[STARTING INVENTORY]]-Table2[[#This Row],[ENDING INVENTORY]]</f>
        <v>31</v>
      </c>
    </row>
    <row r="79" spans="1:13">
      <c r="A79" t="s">
        <v>5</v>
      </c>
      <c r="B79" t="s">
        <v>164</v>
      </c>
      <c r="C79" t="s">
        <v>134</v>
      </c>
      <c r="D79" t="s">
        <v>29</v>
      </c>
      <c r="E79" s="3">
        <v>2</v>
      </c>
      <c r="F79" s="3">
        <v>2.2000000000000002</v>
      </c>
      <c r="G79">
        <v>2.0700000000000003</v>
      </c>
      <c r="H79" s="3">
        <v>4.1400000000000006</v>
      </c>
      <c r="I79">
        <v>73</v>
      </c>
      <c r="J79">
        <v>3</v>
      </c>
      <c r="K79">
        <v>49</v>
      </c>
      <c r="L79" s="13">
        <f>(Table2[[#This Row],[STARTING INVENTORY]]-Table2[[#This Row],[ENDING INVENTORY]])/(Table2[[#This Row],[STARTING INVENTORY]])</f>
        <v>0.32876712328767121</v>
      </c>
      <c r="M79">
        <f>Table2[[#This Row],[STARTING INVENTORY]]-Table2[[#This Row],[ENDING INVENTORY]]</f>
        <v>24</v>
      </c>
    </row>
    <row r="80" spans="1:13">
      <c r="A80" t="s">
        <v>5</v>
      </c>
      <c r="B80" t="s">
        <v>164</v>
      </c>
      <c r="C80" t="s">
        <v>140</v>
      </c>
      <c r="D80" t="s">
        <v>33</v>
      </c>
      <c r="E80" s="3">
        <v>4.5</v>
      </c>
      <c r="F80" s="3">
        <v>4.95</v>
      </c>
      <c r="G80">
        <v>1.99</v>
      </c>
      <c r="H80" s="3">
        <v>8.9550000000000001</v>
      </c>
      <c r="I80">
        <v>63</v>
      </c>
      <c r="J80">
        <v>1</v>
      </c>
      <c r="K80">
        <v>42</v>
      </c>
      <c r="L80" s="13">
        <f>(Table2[[#This Row],[STARTING INVENTORY]]-Table2[[#This Row],[ENDING INVENTORY]])/(Table2[[#This Row],[STARTING INVENTORY]])</f>
        <v>0.33333333333333331</v>
      </c>
      <c r="M80">
        <f>Table2[[#This Row],[STARTING INVENTORY]]-Table2[[#This Row],[ENDING INVENTORY]]</f>
        <v>21</v>
      </c>
    </row>
    <row r="81" spans="1:13">
      <c r="A81" t="s">
        <v>5</v>
      </c>
      <c r="B81" t="s">
        <v>164</v>
      </c>
      <c r="C81" t="s">
        <v>146</v>
      </c>
      <c r="D81" t="s">
        <v>33</v>
      </c>
      <c r="E81" s="3">
        <v>3.75</v>
      </c>
      <c r="F81" s="3">
        <v>4.125</v>
      </c>
      <c r="G81">
        <v>2</v>
      </c>
      <c r="H81" s="3">
        <v>7.5</v>
      </c>
      <c r="I81">
        <v>103</v>
      </c>
      <c r="J81">
        <v>5</v>
      </c>
      <c r="K81">
        <v>18</v>
      </c>
      <c r="L81" s="13">
        <f>(Table2[[#This Row],[STARTING INVENTORY]]-Table2[[#This Row],[ENDING INVENTORY]])/(Table2[[#This Row],[STARTING INVENTORY]])</f>
        <v>0.82524271844660191</v>
      </c>
      <c r="M81">
        <f>Table2[[#This Row],[STARTING INVENTORY]]-Table2[[#This Row],[ENDING INVENTORY]]</f>
        <v>85</v>
      </c>
    </row>
    <row r="82" spans="1:13">
      <c r="A82" t="s">
        <v>5</v>
      </c>
      <c r="B82" t="s">
        <v>165</v>
      </c>
      <c r="C82" t="s">
        <v>35</v>
      </c>
      <c r="D82" t="s">
        <v>33</v>
      </c>
      <c r="E82" s="3">
        <v>2</v>
      </c>
      <c r="F82" s="3">
        <v>2.2000000000000002</v>
      </c>
      <c r="G82">
        <v>1.95</v>
      </c>
      <c r="H82" s="3">
        <v>3.9</v>
      </c>
      <c r="I82">
        <v>121</v>
      </c>
      <c r="J82">
        <v>1</v>
      </c>
      <c r="K82">
        <v>68</v>
      </c>
      <c r="L82" s="13">
        <f>(Table2[[#This Row],[STARTING INVENTORY]]-Table2[[#This Row],[ENDING INVENTORY]])/(Table2[[#This Row],[STARTING INVENTORY]])</f>
        <v>0.43801652892561982</v>
      </c>
      <c r="M82">
        <f>Table2[[#This Row],[STARTING INVENTORY]]-Table2[[#This Row],[ENDING INVENTORY]]</f>
        <v>53</v>
      </c>
    </row>
    <row r="83" spans="1:13">
      <c r="A83" t="s">
        <v>5</v>
      </c>
      <c r="B83" t="s">
        <v>165</v>
      </c>
      <c r="C83" t="s">
        <v>41</v>
      </c>
      <c r="D83" t="s">
        <v>33</v>
      </c>
      <c r="E83" s="3">
        <v>1.95</v>
      </c>
      <c r="F83" s="3">
        <v>2.145</v>
      </c>
      <c r="G83">
        <v>2.0300000000000002</v>
      </c>
      <c r="H83" s="3">
        <v>3.9585000000000004</v>
      </c>
      <c r="I83">
        <v>159</v>
      </c>
      <c r="J83">
        <v>0</v>
      </c>
      <c r="K83">
        <v>50</v>
      </c>
      <c r="L83" s="13">
        <f>(Table2[[#This Row],[STARTING INVENTORY]]-Table2[[#This Row],[ENDING INVENTORY]])/(Table2[[#This Row],[STARTING INVENTORY]])</f>
        <v>0.68553459119496851</v>
      </c>
      <c r="M83">
        <f>Table2[[#This Row],[STARTING INVENTORY]]-Table2[[#This Row],[ENDING INVENTORY]]</f>
        <v>109</v>
      </c>
    </row>
    <row r="84" spans="1:13">
      <c r="A84" t="s">
        <v>5</v>
      </c>
      <c r="B84" t="s">
        <v>165</v>
      </c>
      <c r="C84" t="s">
        <v>47</v>
      </c>
      <c r="D84" t="s">
        <v>33</v>
      </c>
      <c r="E84" s="3">
        <v>1.9</v>
      </c>
      <c r="F84" s="3">
        <v>2.09</v>
      </c>
      <c r="G84">
        <v>2.09</v>
      </c>
      <c r="H84" s="3">
        <v>3.9709999999999996</v>
      </c>
      <c r="I84">
        <v>73</v>
      </c>
      <c r="J84">
        <v>5</v>
      </c>
      <c r="K84">
        <v>10</v>
      </c>
      <c r="L84" s="13">
        <f>(Table2[[#This Row],[STARTING INVENTORY]]-Table2[[#This Row],[ENDING INVENTORY]])/(Table2[[#This Row],[STARTING INVENTORY]])</f>
        <v>0.86301369863013699</v>
      </c>
      <c r="M84">
        <f>Table2[[#This Row],[STARTING INVENTORY]]-Table2[[#This Row],[ENDING INVENTORY]]</f>
        <v>63</v>
      </c>
    </row>
    <row r="85" spans="1:13">
      <c r="A85" t="s">
        <v>5</v>
      </c>
      <c r="B85" t="s">
        <v>165</v>
      </c>
      <c r="C85" t="s">
        <v>53</v>
      </c>
      <c r="D85" t="s">
        <v>33</v>
      </c>
      <c r="E85" s="3">
        <v>3.1</v>
      </c>
      <c r="F85" s="3">
        <v>3.4100000000000006</v>
      </c>
      <c r="G85">
        <v>1.95</v>
      </c>
      <c r="H85" s="3">
        <v>6.0449999999999999</v>
      </c>
      <c r="I85">
        <v>154</v>
      </c>
      <c r="J85">
        <v>1</v>
      </c>
      <c r="K85">
        <v>11</v>
      </c>
      <c r="L85" s="13">
        <f>(Table2[[#This Row],[STARTING INVENTORY]]-Table2[[#This Row],[ENDING INVENTORY]])/(Table2[[#This Row],[STARTING INVENTORY]])</f>
        <v>0.9285714285714286</v>
      </c>
      <c r="M85">
        <f>Table2[[#This Row],[STARTING INVENTORY]]-Table2[[#This Row],[ENDING INVENTORY]]</f>
        <v>143</v>
      </c>
    </row>
    <row r="86" spans="1:13">
      <c r="A86" t="s">
        <v>5</v>
      </c>
      <c r="B86" t="s">
        <v>165</v>
      </c>
      <c r="C86" t="s">
        <v>59</v>
      </c>
      <c r="D86" t="s">
        <v>33</v>
      </c>
      <c r="E86" s="3">
        <v>2</v>
      </c>
      <c r="F86" s="3">
        <v>2.2000000000000002</v>
      </c>
      <c r="G86">
        <v>1.96</v>
      </c>
      <c r="H86" s="3">
        <v>3.92</v>
      </c>
      <c r="I86">
        <v>107</v>
      </c>
      <c r="J86">
        <v>4</v>
      </c>
      <c r="K86">
        <v>73</v>
      </c>
      <c r="L86" s="13">
        <f>(Table2[[#This Row],[STARTING INVENTORY]]-Table2[[#This Row],[ENDING INVENTORY]])/(Table2[[#This Row],[STARTING INVENTORY]])</f>
        <v>0.31775700934579437</v>
      </c>
      <c r="M86">
        <f>Table2[[#This Row],[STARTING INVENTORY]]-Table2[[#This Row],[ENDING INVENTORY]]</f>
        <v>34</v>
      </c>
    </row>
    <row r="87" spans="1:13">
      <c r="A87" t="s">
        <v>5</v>
      </c>
      <c r="B87" t="s">
        <v>165</v>
      </c>
      <c r="C87" t="s">
        <v>65</v>
      </c>
      <c r="D87" t="s">
        <v>33</v>
      </c>
      <c r="E87" s="3">
        <v>1.7</v>
      </c>
      <c r="F87" s="3">
        <v>1.87</v>
      </c>
      <c r="G87">
        <v>1.95</v>
      </c>
      <c r="H87" s="3">
        <v>3.3149999999999999</v>
      </c>
      <c r="I87">
        <v>74</v>
      </c>
      <c r="J87">
        <v>1</v>
      </c>
      <c r="K87">
        <v>7</v>
      </c>
      <c r="L87" s="13">
        <f>(Table2[[#This Row],[STARTING INVENTORY]]-Table2[[#This Row],[ENDING INVENTORY]])/(Table2[[#This Row],[STARTING INVENTORY]])</f>
        <v>0.90540540540540537</v>
      </c>
      <c r="M87">
        <f>Table2[[#This Row],[STARTING INVENTORY]]-Table2[[#This Row],[ENDING INVENTORY]]</f>
        <v>67</v>
      </c>
    </row>
    <row r="88" spans="1:13">
      <c r="A88" t="s">
        <v>5</v>
      </c>
      <c r="B88" t="s">
        <v>165</v>
      </c>
      <c r="C88" t="s">
        <v>71</v>
      </c>
      <c r="D88" t="s">
        <v>33</v>
      </c>
      <c r="E88" s="3">
        <v>1.5</v>
      </c>
      <c r="F88" s="3">
        <v>1.6500000000000001</v>
      </c>
      <c r="G88">
        <v>2.04</v>
      </c>
      <c r="H88" s="3">
        <v>3.06</v>
      </c>
      <c r="I88">
        <v>131</v>
      </c>
      <c r="J88">
        <v>6</v>
      </c>
      <c r="K88">
        <v>23</v>
      </c>
      <c r="L88" s="13">
        <f>(Table2[[#This Row],[STARTING INVENTORY]]-Table2[[#This Row],[ENDING INVENTORY]])/(Table2[[#This Row],[STARTING INVENTORY]])</f>
        <v>0.82442748091603058</v>
      </c>
      <c r="M88">
        <f>Table2[[#This Row],[STARTING INVENTORY]]-Table2[[#This Row],[ENDING INVENTORY]]</f>
        <v>108</v>
      </c>
    </row>
    <row r="89" spans="1:13">
      <c r="A89" t="s">
        <v>5</v>
      </c>
      <c r="B89" t="s">
        <v>165</v>
      </c>
      <c r="C89" t="s">
        <v>77</v>
      </c>
      <c r="D89" t="s">
        <v>33</v>
      </c>
      <c r="E89" s="3">
        <v>2.65</v>
      </c>
      <c r="F89" s="3">
        <v>2.915</v>
      </c>
      <c r="G89">
        <v>2.02</v>
      </c>
      <c r="H89" s="3">
        <v>5.3529999999999998</v>
      </c>
      <c r="I89">
        <v>137</v>
      </c>
      <c r="J89">
        <v>0</v>
      </c>
      <c r="K89">
        <v>40</v>
      </c>
      <c r="L89" s="13">
        <f>(Table2[[#This Row],[STARTING INVENTORY]]-Table2[[#This Row],[ENDING INVENTORY]])/(Table2[[#This Row],[STARTING INVENTORY]])</f>
        <v>0.70802919708029199</v>
      </c>
      <c r="M89">
        <f>Table2[[#This Row],[STARTING INVENTORY]]-Table2[[#This Row],[ENDING INVENTORY]]</f>
        <v>97</v>
      </c>
    </row>
    <row r="90" spans="1:13">
      <c r="A90" t="s">
        <v>5</v>
      </c>
      <c r="B90" t="s">
        <v>165</v>
      </c>
      <c r="C90" t="s">
        <v>83</v>
      </c>
      <c r="D90" t="s">
        <v>33</v>
      </c>
      <c r="E90" s="3">
        <v>1.2</v>
      </c>
      <c r="F90" s="3">
        <v>1.32</v>
      </c>
      <c r="G90">
        <v>1.96</v>
      </c>
      <c r="H90" s="3">
        <v>2.3519999999999999</v>
      </c>
      <c r="I90">
        <v>146</v>
      </c>
      <c r="J90">
        <v>9</v>
      </c>
      <c r="K90">
        <v>84</v>
      </c>
      <c r="L90" s="13">
        <f>(Table2[[#This Row],[STARTING INVENTORY]]-Table2[[#This Row],[ENDING INVENTORY]])/(Table2[[#This Row],[STARTING INVENTORY]])</f>
        <v>0.42465753424657532</v>
      </c>
      <c r="M90">
        <f>Table2[[#This Row],[STARTING INVENTORY]]-Table2[[#This Row],[ENDING INVENTORY]]</f>
        <v>62</v>
      </c>
    </row>
    <row r="91" spans="1:13">
      <c r="A91" t="s">
        <v>5</v>
      </c>
      <c r="B91" t="s">
        <v>165</v>
      </c>
      <c r="C91" t="s">
        <v>89</v>
      </c>
      <c r="D91" t="s">
        <v>33</v>
      </c>
      <c r="E91" s="3">
        <v>1.4</v>
      </c>
      <c r="F91" s="3">
        <v>1.54</v>
      </c>
      <c r="G91">
        <v>2.0700000000000003</v>
      </c>
      <c r="H91" s="3">
        <v>2.8980000000000001</v>
      </c>
      <c r="I91">
        <v>121</v>
      </c>
      <c r="J91">
        <v>4</v>
      </c>
      <c r="K91">
        <v>71</v>
      </c>
      <c r="L91" s="13">
        <f>(Table2[[#This Row],[STARTING INVENTORY]]-Table2[[#This Row],[ENDING INVENTORY]])/(Table2[[#This Row],[STARTING INVENTORY]])</f>
        <v>0.41322314049586778</v>
      </c>
      <c r="M91">
        <f>Table2[[#This Row],[STARTING INVENTORY]]-Table2[[#This Row],[ENDING INVENTORY]]</f>
        <v>50</v>
      </c>
    </row>
    <row r="92" spans="1:13">
      <c r="A92" t="s">
        <v>5</v>
      </c>
      <c r="B92" t="s">
        <v>165</v>
      </c>
      <c r="C92" t="s">
        <v>95</v>
      </c>
      <c r="D92" t="s">
        <v>33</v>
      </c>
      <c r="E92" s="3">
        <v>1.6</v>
      </c>
      <c r="F92" s="3">
        <v>1.7600000000000002</v>
      </c>
      <c r="G92">
        <v>1.99</v>
      </c>
      <c r="H92" s="3">
        <v>3.1840000000000002</v>
      </c>
      <c r="I92">
        <v>99</v>
      </c>
      <c r="J92">
        <v>0</v>
      </c>
      <c r="K92">
        <v>54</v>
      </c>
      <c r="L92" s="13">
        <f>(Table2[[#This Row],[STARTING INVENTORY]]-Table2[[#This Row],[ENDING INVENTORY]])/(Table2[[#This Row],[STARTING INVENTORY]])</f>
        <v>0.45454545454545453</v>
      </c>
      <c r="M92">
        <f>Table2[[#This Row],[STARTING INVENTORY]]-Table2[[#This Row],[ENDING INVENTORY]]</f>
        <v>45</v>
      </c>
    </row>
    <row r="93" spans="1:13">
      <c r="A93" t="s">
        <v>5</v>
      </c>
      <c r="B93" t="s">
        <v>165</v>
      </c>
      <c r="C93" t="s">
        <v>101</v>
      </c>
      <c r="D93" t="s">
        <v>33</v>
      </c>
      <c r="E93" s="3">
        <v>0.7</v>
      </c>
      <c r="F93" s="3">
        <v>0.77</v>
      </c>
      <c r="G93">
        <v>2.1</v>
      </c>
      <c r="H93" s="3">
        <v>1.47</v>
      </c>
      <c r="I93">
        <v>144</v>
      </c>
      <c r="J93">
        <v>2</v>
      </c>
      <c r="K93">
        <v>136</v>
      </c>
      <c r="L93" s="13">
        <f>(Table2[[#This Row],[STARTING INVENTORY]]-Table2[[#This Row],[ENDING INVENTORY]])/(Table2[[#This Row],[STARTING INVENTORY]])</f>
        <v>5.5555555555555552E-2</v>
      </c>
      <c r="M93">
        <f>Table2[[#This Row],[STARTING INVENTORY]]-Table2[[#This Row],[ENDING INVENTORY]]</f>
        <v>8</v>
      </c>
    </row>
    <row r="94" spans="1:13">
      <c r="A94" t="s">
        <v>5</v>
      </c>
      <c r="B94" t="s">
        <v>165</v>
      </c>
      <c r="C94" t="s">
        <v>107</v>
      </c>
      <c r="D94" t="s">
        <v>33</v>
      </c>
      <c r="E94" s="3">
        <v>0.55000000000000004</v>
      </c>
      <c r="F94" s="3">
        <v>0.60500000000000009</v>
      </c>
      <c r="G94">
        <v>2.0099999999999998</v>
      </c>
      <c r="H94" s="3">
        <v>1.1054999999999999</v>
      </c>
      <c r="I94">
        <v>139</v>
      </c>
      <c r="J94">
        <v>9</v>
      </c>
      <c r="K94">
        <v>46</v>
      </c>
      <c r="L94" s="13">
        <f>(Table2[[#This Row],[STARTING INVENTORY]]-Table2[[#This Row],[ENDING INVENTORY]])/(Table2[[#This Row],[STARTING INVENTORY]])</f>
        <v>0.6690647482014388</v>
      </c>
      <c r="M94">
        <f>Table2[[#This Row],[STARTING INVENTORY]]-Table2[[#This Row],[ENDING INVENTORY]]</f>
        <v>93</v>
      </c>
    </row>
    <row r="95" spans="1:13">
      <c r="A95" t="s">
        <v>5</v>
      </c>
      <c r="B95" t="s">
        <v>165</v>
      </c>
      <c r="C95" t="s">
        <v>113</v>
      </c>
      <c r="D95" t="s">
        <v>33</v>
      </c>
      <c r="E95" s="3">
        <v>1.4</v>
      </c>
      <c r="F95" s="3">
        <v>1.54</v>
      </c>
      <c r="G95">
        <v>2.0499999999999998</v>
      </c>
      <c r="H95" s="3">
        <v>2.8699999999999997</v>
      </c>
      <c r="I95">
        <v>168</v>
      </c>
      <c r="J95">
        <v>2</v>
      </c>
      <c r="K95">
        <v>142</v>
      </c>
      <c r="L95" s="13">
        <f>(Table2[[#This Row],[STARTING INVENTORY]]-Table2[[#This Row],[ENDING INVENTORY]])/(Table2[[#This Row],[STARTING INVENTORY]])</f>
        <v>0.15476190476190477</v>
      </c>
      <c r="M95">
        <f>Table2[[#This Row],[STARTING INVENTORY]]-Table2[[#This Row],[ENDING INVENTORY]]</f>
        <v>26</v>
      </c>
    </row>
    <row r="96" spans="1:13">
      <c r="A96" t="s">
        <v>5</v>
      </c>
      <c r="B96" t="s">
        <v>165</v>
      </c>
      <c r="C96" t="s">
        <v>119</v>
      </c>
      <c r="D96" t="s">
        <v>33</v>
      </c>
      <c r="E96" s="3">
        <v>2</v>
      </c>
      <c r="F96" s="3">
        <v>2.2000000000000002</v>
      </c>
      <c r="G96">
        <v>2.0099999999999998</v>
      </c>
      <c r="H96" s="3">
        <v>4.0199999999999996</v>
      </c>
      <c r="I96">
        <v>141</v>
      </c>
      <c r="J96">
        <v>0</v>
      </c>
      <c r="K96">
        <v>103</v>
      </c>
      <c r="L96" s="13">
        <f>(Table2[[#This Row],[STARTING INVENTORY]]-Table2[[#This Row],[ENDING INVENTORY]])/(Table2[[#This Row],[STARTING INVENTORY]])</f>
        <v>0.26950354609929078</v>
      </c>
      <c r="M96">
        <f>Table2[[#This Row],[STARTING INVENTORY]]-Table2[[#This Row],[ENDING INVENTORY]]</f>
        <v>38</v>
      </c>
    </row>
    <row r="97" spans="1:13">
      <c r="A97" t="s">
        <v>5</v>
      </c>
      <c r="B97" t="s">
        <v>165</v>
      </c>
      <c r="C97" t="s">
        <v>125</v>
      </c>
      <c r="D97" t="s">
        <v>33</v>
      </c>
      <c r="E97" s="3">
        <v>2.25</v>
      </c>
      <c r="F97" s="3">
        <v>2.4750000000000001</v>
      </c>
      <c r="G97">
        <v>2.02</v>
      </c>
      <c r="H97" s="3">
        <v>4.5449999999999999</v>
      </c>
      <c r="I97">
        <v>170</v>
      </c>
      <c r="J97">
        <v>2</v>
      </c>
      <c r="K97">
        <v>41</v>
      </c>
      <c r="L97" s="13">
        <f>(Table2[[#This Row],[STARTING INVENTORY]]-Table2[[#This Row],[ENDING INVENTORY]])/(Table2[[#This Row],[STARTING INVENTORY]])</f>
        <v>0.75882352941176467</v>
      </c>
      <c r="M97">
        <f>Table2[[#This Row],[STARTING INVENTORY]]-Table2[[#This Row],[ENDING INVENTORY]]</f>
        <v>129</v>
      </c>
    </row>
    <row r="98" spans="1:13">
      <c r="A98" t="s">
        <v>5</v>
      </c>
      <c r="B98" t="s">
        <v>165</v>
      </c>
      <c r="C98" t="s">
        <v>131</v>
      </c>
      <c r="D98" t="s">
        <v>33</v>
      </c>
      <c r="E98" s="3">
        <v>3.4</v>
      </c>
      <c r="F98" s="3">
        <v>3.74</v>
      </c>
      <c r="G98">
        <v>2.0700000000000003</v>
      </c>
      <c r="H98" s="3">
        <v>7.0380000000000011</v>
      </c>
      <c r="I98">
        <v>112</v>
      </c>
      <c r="J98">
        <v>2</v>
      </c>
      <c r="K98">
        <v>59</v>
      </c>
      <c r="L98" s="13">
        <f>(Table2[[#This Row],[STARTING INVENTORY]]-Table2[[#This Row],[ENDING INVENTORY]])/(Table2[[#This Row],[STARTING INVENTORY]])</f>
        <v>0.4732142857142857</v>
      </c>
      <c r="M98">
        <f>Table2[[#This Row],[STARTING INVENTORY]]-Table2[[#This Row],[ENDING INVENTORY]]</f>
        <v>53</v>
      </c>
    </row>
    <row r="99" spans="1:13">
      <c r="A99" t="s">
        <v>5</v>
      </c>
      <c r="B99" t="s">
        <v>165</v>
      </c>
      <c r="C99" t="s">
        <v>137</v>
      </c>
      <c r="D99" t="s">
        <v>33</v>
      </c>
      <c r="E99" s="3">
        <v>3.1</v>
      </c>
      <c r="F99" s="3">
        <v>3.4100000000000006</v>
      </c>
      <c r="G99">
        <v>2</v>
      </c>
      <c r="H99" s="3">
        <v>6.2</v>
      </c>
      <c r="I99">
        <v>83</v>
      </c>
      <c r="J99">
        <v>4</v>
      </c>
      <c r="K99">
        <v>69</v>
      </c>
      <c r="L99" s="13">
        <f>(Table2[[#This Row],[STARTING INVENTORY]]-Table2[[#This Row],[ENDING INVENTORY]])/(Table2[[#This Row],[STARTING INVENTORY]])</f>
        <v>0.16867469879518071</v>
      </c>
      <c r="M99">
        <f>Table2[[#This Row],[STARTING INVENTORY]]-Table2[[#This Row],[ENDING INVENTORY]]</f>
        <v>14</v>
      </c>
    </row>
    <row r="100" spans="1:13">
      <c r="A100" t="s">
        <v>5</v>
      </c>
      <c r="B100" t="s">
        <v>165</v>
      </c>
      <c r="C100" t="s">
        <v>143</v>
      </c>
      <c r="D100" t="s">
        <v>33</v>
      </c>
      <c r="E100" s="3">
        <v>1.5</v>
      </c>
      <c r="F100" s="3">
        <v>1.6500000000000001</v>
      </c>
      <c r="G100">
        <v>1.96</v>
      </c>
      <c r="H100" s="3">
        <v>2.94</v>
      </c>
      <c r="I100">
        <v>85</v>
      </c>
      <c r="J100">
        <v>3</v>
      </c>
      <c r="K100">
        <v>11</v>
      </c>
      <c r="L100" s="13">
        <f>(Table2[[#This Row],[STARTING INVENTORY]]-Table2[[#This Row],[ENDING INVENTORY]])/(Table2[[#This Row],[STARTING INVENTORY]])</f>
        <v>0.87058823529411766</v>
      </c>
      <c r="M100">
        <f>Table2[[#This Row],[STARTING INVENTORY]]-Table2[[#This Row],[ENDING INVENTORY]]</f>
        <v>74</v>
      </c>
    </row>
    <row r="101" spans="1:13">
      <c r="A101" t="s">
        <v>5</v>
      </c>
      <c r="B101" t="s">
        <v>165</v>
      </c>
      <c r="C101" t="s">
        <v>149</v>
      </c>
      <c r="D101" t="s">
        <v>33</v>
      </c>
      <c r="E101" s="3">
        <v>1.9</v>
      </c>
      <c r="F101" s="3">
        <v>2.09</v>
      </c>
      <c r="G101">
        <v>1.95</v>
      </c>
      <c r="H101" s="3">
        <v>3.7049999999999996</v>
      </c>
      <c r="I101">
        <v>148</v>
      </c>
      <c r="J101">
        <v>1</v>
      </c>
      <c r="K101">
        <v>129</v>
      </c>
      <c r="L101" s="13">
        <f>(Table2[[#This Row],[STARTING INVENTORY]]-Table2[[#This Row],[ENDING INVENTORY]])/(Table2[[#This Row],[STARTING INVENTORY]])</f>
        <v>0.12837837837837837</v>
      </c>
      <c r="M101">
        <f>Table2[[#This Row],[STARTING INVENTORY]]-Table2[[#This Row],[ENDING INVENTORY]]</f>
        <v>19</v>
      </c>
    </row>
    <row r="102" spans="1:13">
      <c r="A102" t="s">
        <v>5</v>
      </c>
      <c r="B102" t="s">
        <v>166</v>
      </c>
      <c r="C102" t="s">
        <v>34</v>
      </c>
      <c r="D102" t="s">
        <v>33</v>
      </c>
      <c r="E102" s="3">
        <v>1.3</v>
      </c>
      <c r="F102" s="3">
        <v>1.4300000000000002</v>
      </c>
      <c r="G102">
        <v>1.99</v>
      </c>
      <c r="H102" s="3">
        <v>2.5870000000000002</v>
      </c>
      <c r="I102">
        <v>99</v>
      </c>
      <c r="J102">
        <v>0</v>
      </c>
      <c r="K102">
        <v>6</v>
      </c>
      <c r="L102" s="13">
        <f>(Table2[[#This Row],[STARTING INVENTORY]]-Table2[[#This Row],[ENDING INVENTORY]])/(Table2[[#This Row],[STARTING INVENTORY]])</f>
        <v>0.93939393939393945</v>
      </c>
      <c r="M102">
        <f>Table2[[#This Row],[STARTING INVENTORY]]-Table2[[#This Row],[ENDING INVENTORY]]</f>
        <v>93</v>
      </c>
    </row>
    <row r="103" spans="1:13">
      <c r="A103" t="s">
        <v>5</v>
      </c>
      <c r="B103" t="s">
        <v>166</v>
      </c>
      <c r="C103" t="s">
        <v>40</v>
      </c>
      <c r="D103" t="s">
        <v>33</v>
      </c>
      <c r="E103" s="3">
        <v>1.6</v>
      </c>
      <c r="F103" s="3">
        <v>1.7600000000000002</v>
      </c>
      <c r="G103">
        <v>2.02</v>
      </c>
      <c r="H103" s="3">
        <v>3.2320000000000002</v>
      </c>
      <c r="I103">
        <v>148</v>
      </c>
      <c r="J103">
        <v>3</v>
      </c>
      <c r="K103">
        <v>79</v>
      </c>
      <c r="L103" s="13">
        <f>(Table2[[#This Row],[STARTING INVENTORY]]-Table2[[#This Row],[ENDING INVENTORY]])/(Table2[[#This Row],[STARTING INVENTORY]])</f>
        <v>0.46621621621621623</v>
      </c>
      <c r="M103">
        <f>Table2[[#This Row],[STARTING INVENTORY]]-Table2[[#This Row],[ENDING INVENTORY]]</f>
        <v>69</v>
      </c>
    </row>
    <row r="104" spans="1:13">
      <c r="A104" t="s">
        <v>5</v>
      </c>
      <c r="B104" t="s">
        <v>166</v>
      </c>
      <c r="C104" t="s">
        <v>46</v>
      </c>
      <c r="D104" t="s">
        <v>33</v>
      </c>
      <c r="E104" s="3">
        <v>1.35</v>
      </c>
      <c r="F104" s="3">
        <v>1.4850000000000003</v>
      </c>
      <c r="G104">
        <v>2.09</v>
      </c>
      <c r="H104" s="3">
        <v>2.8214999999999999</v>
      </c>
      <c r="I104">
        <v>80</v>
      </c>
      <c r="J104">
        <v>1</v>
      </c>
      <c r="K104">
        <v>2</v>
      </c>
      <c r="L104" s="13">
        <f>(Table2[[#This Row],[STARTING INVENTORY]]-Table2[[#This Row],[ENDING INVENTORY]])/(Table2[[#This Row],[STARTING INVENTORY]])</f>
        <v>0.97499999999999998</v>
      </c>
      <c r="M104">
        <f>Table2[[#This Row],[STARTING INVENTORY]]-Table2[[#This Row],[ENDING INVENTORY]]</f>
        <v>78</v>
      </c>
    </row>
    <row r="105" spans="1:13">
      <c r="A105" t="s">
        <v>5</v>
      </c>
      <c r="B105" t="s">
        <v>166</v>
      </c>
      <c r="C105" t="s">
        <v>52</v>
      </c>
      <c r="D105" t="s">
        <v>33</v>
      </c>
      <c r="E105" s="3">
        <v>1.6</v>
      </c>
      <c r="F105" s="3">
        <v>1.7600000000000002</v>
      </c>
      <c r="G105">
        <v>1.97</v>
      </c>
      <c r="H105" s="3">
        <v>3.1520000000000001</v>
      </c>
      <c r="I105">
        <v>68</v>
      </c>
      <c r="J105">
        <v>0</v>
      </c>
      <c r="K105">
        <v>2</v>
      </c>
      <c r="L105" s="13">
        <f>(Table2[[#This Row],[STARTING INVENTORY]]-Table2[[#This Row],[ENDING INVENTORY]])/(Table2[[#This Row],[STARTING INVENTORY]])</f>
        <v>0.97058823529411764</v>
      </c>
      <c r="M105">
        <f>Table2[[#This Row],[STARTING INVENTORY]]-Table2[[#This Row],[ENDING INVENTORY]]</f>
        <v>66</v>
      </c>
    </row>
    <row r="106" spans="1:13">
      <c r="A106" t="s">
        <v>5</v>
      </c>
      <c r="B106" t="s">
        <v>166</v>
      </c>
      <c r="C106" t="s">
        <v>58</v>
      </c>
      <c r="D106" t="s">
        <v>33</v>
      </c>
      <c r="E106" s="3">
        <v>2.1</v>
      </c>
      <c r="F106" s="3">
        <v>2.3100000000000005</v>
      </c>
      <c r="G106">
        <v>2.04</v>
      </c>
      <c r="H106" s="3">
        <v>4.2840000000000007</v>
      </c>
      <c r="I106">
        <v>54</v>
      </c>
      <c r="J106">
        <v>7</v>
      </c>
      <c r="K106">
        <v>26</v>
      </c>
      <c r="L106" s="13">
        <f>(Table2[[#This Row],[STARTING INVENTORY]]-Table2[[#This Row],[ENDING INVENTORY]])/(Table2[[#This Row],[STARTING INVENTORY]])</f>
        <v>0.51851851851851849</v>
      </c>
      <c r="M106">
        <f>Table2[[#This Row],[STARTING INVENTORY]]-Table2[[#This Row],[ENDING INVENTORY]]</f>
        <v>28</v>
      </c>
    </row>
    <row r="107" spans="1:13">
      <c r="A107" t="s">
        <v>5</v>
      </c>
      <c r="B107" t="s">
        <v>166</v>
      </c>
      <c r="C107" t="s">
        <v>64</v>
      </c>
      <c r="D107" t="s">
        <v>33</v>
      </c>
      <c r="E107" s="3">
        <v>1.85</v>
      </c>
      <c r="F107" s="3">
        <v>2.0350000000000001</v>
      </c>
      <c r="G107">
        <v>2.02</v>
      </c>
      <c r="H107" s="3">
        <v>3.7370000000000001</v>
      </c>
      <c r="I107">
        <v>84</v>
      </c>
      <c r="J107">
        <v>3</v>
      </c>
      <c r="K107">
        <v>39</v>
      </c>
      <c r="L107" s="13">
        <f>(Table2[[#This Row],[STARTING INVENTORY]]-Table2[[#This Row],[ENDING INVENTORY]])/(Table2[[#This Row],[STARTING INVENTORY]])</f>
        <v>0.5357142857142857</v>
      </c>
      <c r="M107">
        <f>Table2[[#This Row],[STARTING INVENTORY]]-Table2[[#This Row],[ENDING INVENTORY]]</f>
        <v>45</v>
      </c>
    </row>
    <row r="108" spans="1:13">
      <c r="A108" t="s">
        <v>5</v>
      </c>
      <c r="B108" t="s">
        <v>166</v>
      </c>
      <c r="C108" t="s">
        <v>70</v>
      </c>
      <c r="D108" t="s">
        <v>33</v>
      </c>
      <c r="E108" s="3">
        <v>1.55</v>
      </c>
      <c r="F108" s="3">
        <v>1.7050000000000003</v>
      </c>
      <c r="G108">
        <v>2.04</v>
      </c>
      <c r="H108" s="3">
        <v>3.1620000000000004</v>
      </c>
      <c r="I108">
        <v>104</v>
      </c>
      <c r="J108">
        <v>3</v>
      </c>
      <c r="K108">
        <v>101</v>
      </c>
      <c r="L108" s="13">
        <f>(Table2[[#This Row],[STARTING INVENTORY]]-Table2[[#This Row],[ENDING INVENTORY]])/(Table2[[#This Row],[STARTING INVENTORY]])</f>
        <v>2.8846153846153848E-2</v>
      </c>
      <c r="M108">
        <f>Table2[[#This Row],[STARTING INVENTORY]]-Table2[[#This Row],[ENDING INVENTORY]]</f>
        <v>3</v>
      </c>
    </row>
    <row r="109" spans="1:13">
      <c r="A109" t="s">
        <v>5</v>
      </c>
      <c r="B109" t="s">
        <v>166</v>
      </c>
      <c r="C109" t="s">
        <v>76</v>
      </c>
      <c r="D109" t="s">
        <v>33</v>
      </c>
      <c r="E109" s="3">
        <v>1.55</v>
      </c>
      <c r="F109" s="3">
        <v>1.7050000000000003</v>
      </c>
      <c r="G109">
        <v>2.08</v>
      </c>
      <c r="H109" s="3">
        <v>3.2240000000000002</v>
      </c>
      <c r="I109">
        <v>128</v>
      </c>
      <c r="J109">
        <v>5</v>
      </c>
      <c r="K109">
        <v>32</v>
      </c>
      <c r="L109" s="13">
        <f>(Table2[[#This Row],[STARTING INVENTORY]]-Table2[[#This Row],[ENDING INVENTORY]])/(Table2[[#This Row],[STARTING INVENTORY]])</f>
        <v>0.75</v>
      </c>
      <c r="M109">
        <f>Table2[[#This Row],[STARTING INVENTORY]]-Table2[[#This Row],[ENDING INVENTORY]]</f>
        <v>96</v>
      </c>
    </row>
    <row r="110" spans="1:13">
      <c r="A110" t="s">
        <v>5</v>
      </c>
      <c r="B110" t="s">
        <v>166</v>
      </c>
      <c r="C110" t="s">
        <v>82</v>
      </c>
      <c r="D110" t="s">
        <v>33</v>
      </c>
      <c r="E110" s="3">
        <v>1.75</v>
      </c>
      <c r="F110" s="3">
        <v>1.9250000000000003</v>
      </c>
      <c r="G110">
        <v>1.99</v>
      </c>
      <c r="H110" s="3">
        <v>3.4824999999999999</v>
      </c>
      <c r="I110">
        <v>110</v>
      </c>
      <c r="J110">
        <v>2</v>
      </c>
      <c r="K110">
        <v>91</v>
      </c>
      <c r="L110" s="13">
        <f>(Table2[[#This Row],[STARTING INVENTORY]]-Table2[[#This Row],[ENDING INVENTORY]])/(Table2[[#This Row],[STARTING INVENTORY]])</f>
        <v>0.17272727272727273</v>
      </c>
      <c r="M110">
        <f>Table2[[#This Row],[STARTING INVENTORY]]-Table2[[#This Row],[ENDING INVENTORY]]</f>
        <v>19</v>
      </c>
    </row>
    <row r="111" spans="1:13">
      <c r="A111" t="s">
        <v>5</v>
      </c>
      <c r="B111" t="s">
        <v>166</v>
      </c>
      <c r="C111" t="s">
        <v>88</v>
      </c>
      <c r="D111" t="s">
        <v>33</v>
      </c>
      <c r="E111" s="3">
        <v>2.2000000000000002</v>
      </c>
      <c r="F111" s="3">
        <v>2.4200000000000004</v>
      </c>
      <c r="G111">
        <v>1.98</v>
      </c>
      <c r="H111" s="3">
        <v>4.3559999999999999</v>
      </c>
      <c r="I111">
        <v>48</v>
      </c>
      <c r="J111">
        <v>5</v>
      </c>
      <c r="K111">
        <v>0</v>
      </c>
      <c r="L111" s="13">
        <f>(Table2[[#This Row],[STARTING INVENTORY]]-Table2[[#This Row],[ENDING INVENTORY]])/(Table2[[#This Row],[STARTING INVENTORY]])</f>
        <v>1</v>
      </c>
      <c r="M111">
        <f>Table2[[#This Row],[STARTING INVENTORY]]-Table2[[#This Row],[ENDING INVENTORY]]</f>
        <v>48</v>
      </c>
    </row>
    <row r="112" spans="1:13">
      <c r="A112" t="s">
        <v>5</v>
      </c>
      <c r="B112" t="s">
        <v>166</v>
      </c>
      <c r="C112" t="s">
        <v>94</v>
      </c>
      <c r="D112" t="s">
        <v>33</v>
      </c>
      <c r="E112" s="3">
        <v>2.75</v>
      </c>
      <c r="F112" s="3">
        <v>3.0250000000000004</v>
      </c>
      <c r="G112">
        <v>2.0499999999999998</v>
      </c>
      <c r="H112" s="3">
        <v>5.6374999999999993</v>
      </c>
      <c r="I112">
        <v>127</v>
      </c>
      <c r="J112">
        <v>2</v>
      </c>
      <c r="K112">
        <v>118</v>
      </c>
      <c r="L112" s="13">
        <f>(Table2[[#This Row],[STARTING INVENTORY]]-Table2[[#This Row],[ENDING INVENTORY]])/(Table2[[#This Row],[STARTING INVENTORY]])</f>
        <v>7.0866141732283464E-2</v>
      </c>
      <c r="M112">
        <f>Table2[[#This Row],[STARTING INVENTORY]]-Table2[[#This Row],[ENDING INVENTORY]]</f>
        <v>9</v>
      </c>
    </row>
    <row r="113" spans="1:13">
      <c r="A113" t="s">
        <v>5</v>
      </c>
      <c r="B113" t="s">
        <v>166</v>
      </c>
      <c r="C113" t="s">
        <v>100</v>
      </c>
      <c r="D113" t="s">
        <v>33</v>
      </c>
      <c r="E113" s="3">
        <v>2.4</v>
      </c>
      <c r="F113" s="3">
        <v>2.64</v>
      </c>
      <c r="G113">
        <v>1.95</v>
      </c>
      <c r="H113" s="3">
        <v>4.68</v>
      </c>
      <c r="I113">
        <v>40</v>
      </c>
      <c r="J113">
        <v>0</v>
      </c>
      <c r="K113">
        <v>7</v>
      </c>
      <c r="L113" s="13">
        <f>(Table2[[#This Row],[STARTING INVENTORY]]-Table2[[#This Row],[ENDING INVENTORY]])/(Table2[[#This Row],[STARTING INVENTORY]])</f>
        <v>0.82499999999999996</v>
      </c>
      <c r="M113">
        <f>Table2[[#This Row],[STARTING INVENTORY]]-Table2[[#This Row],[ENDING INVENTORY]]</f>
        <v>33</v>
      </c>
    </row>
    <row r="114" spans="1:13">
      <c r="A114" t="s">
        <v>5</v>
      </c>
      <c r="B114" t="s">
        <v>166</v>
      </c>
      <c r="C114" t="s">
        <v>106</v>
      </c>
      <c r="D114" t="s">
        <v>33</v>
      </c>
      <c r="E114" s="3">
        <v>2.7</v>
      </c>
      <c r="F114" s="3">
        <v>2.9700000000000006</v>
      </c>
      <c r="G114">
        <v>1.98</v>
      </c>
      <c r="H114" s="3">
        <v>5.3460000000000001</v>
      </c>
      <c r="I114">
        <v>147</v>
      </c>
      <c r="J114">
        <v>1</v>
      </c>
      <c r="K114">
        <v>100</v>
      </c>
      <c r="L114" s="13">
        <f>(Table2[[#This Row],[STARTING INVENTORY]]-Table2[[#This Row],[ENDING INVENTORY]])/(Table2[[#This Row],[STARTING INVENTORY]])</f>
        <v>0.31972789115646261</v>
      </c>
      <c r="M114">
        <f>Table2[[#This Row],[STARTING INVENTORY]]-Table2[[#This Row],[ENDING INVENTORY]]</f>
        <v>47</v>
      </c>
    </row>
    <row r="115" spans="1:13">
      <c r="A115" t="s">
        <v>5</v>
      </c>
      <c r="B115" t="s">
        <v>166</v>
      </c>
      <c r="C115" t="s">
        <v>112</v>
      </c>
      <c r="D115" t="s">
        <v>33</v>
      </c>
      <c r="E115" s="3">
        <v>2.6</v>
      </c>
      <c r="F115" s="3">
        <v>2.8600000000000003</v>
      </c>
      <c r="G115">
        <v>2.08</v>
      </c>
      <c r="H115" s="3">
        <v>5.4080000000000004</v>
      </c>
      <c r="I115">
        <v>47</v>
      </c>
      <c r="J115">
        <v>2</v>
      </c>
      <c r="K115">
        <v>31</v>
      </c>
      <c r="L115" s="13">
        <f>(Table2[[#This Row],[STARTING INVENTORY]]-Table2[[#This Row],[ENDING INVENTORY]])/(Table2[[#This Row],[STARTING INVENTORY]])</f>
        <v>0.34042553191489361</v>
      </c>
      <c r="M115">
        <f>Table2[[#This Row],[STARTING INVENTORY]]-Table2[[#This Row],[ENDING INVENTORY]]</f>
        <v>16</v>
      </c>
    </row>
    <row r="116" spans="1:13">
      <c r="A116" t="s">
        <v>5</v>
      </c>
      <c r="B116" t="s">
        <v>166</v>
      </c>
      <c r="C116" t="s">
        <v>118</v>
      </c>
      <c r="D116" t="s">
        <v>33</v>
      </c>
      <c r="E116" s="3">
        <v>4</v>
      </c>
      <c r="F116" s="3">
        <v>4.4000000000000004</v>
      </c>
      <c r="G116">
        <v>2.0099999999999998</v>
      </c>
      <c r="H116" s="3">
        <v>8.0399999999999991</v>
      </c>
      <c r="I116">
        <v>127</v>
      </c>
      <c r="J116">
        <v>4</v>
      </c>
      <c r="K116">
        <v>123</v>
      </c>
      <c r="L116" s="13">
        <f>(Table2[[#This Row],[STARTING INVENTORY]]-Table2[[#This Row],[ENDING INVENTORY]])/(Table2[[#This Row],[STARTING INVENTORY]])</f>
        <v>3.1496062992125984E-2</v>
      </c>
      <c r="M116">
        <f>Table2[[#This Row],[STARTING INVENTORY]]-Table2[[#This Row],[ENDING INVENTORY]]</f>
        <v>4</v>
      </c>
    </row>
    <row r="117" spans="1:13">
      <c r="A117" t="s">
        <v>5</v>
      </c>
      <c r="B117" t="s">
        <v>166</v>
      </c>
      <c r="C117" t="s">
        <v>124</v>
      </c>
      <c r="D117" t="s">
        <v>33</v>
      </c>
      <c r="E117" s="3">
        <v>4.25</v>
      </c>
      <c r="F117" s="3">
        <v>4.6750000000000007</v>
      </c>
      <c r="G117">
        <v>2.0300000000000002</v>
      </c>
      <c r="H117" s="3">
        <v>8.6275000000000013</v>
      </c>
      <c r="I117">
        <v>102</v>
      </c>
      <c r="J117">
        <v>0</v>
      </c>
      <c r="K117">
        <v>47</v>
      </c>
      <c r="L117" s="13">
        <f>(Table2[[#This Row],[STARTING INVENTORY]]-Table2[[#This Row],[ENDING INVENTORY]])/(Table2[[#This Row],[STARTING INVENTORY]])</f>
        <v>0.53921568627450978</v>
      </c>
      <c r="M117">
        <f>Table2[[#This Row],[STARTING INVENTORY]]-Table2[[#This Row],[ENDING INVENTORY]]</f>
        <v>55</v>
      </c>
    </row>
    <row r="118" spans="1:13">
      <c r="A118" t="s">
        <v>5</v>
      </c>
      <c r="B118" t="s">
        <v>166</v>
      </c>
      <c r="C118" t="s">
        <v>130</v>
      </c>
      <c r="D118" t="s">
        <v>33</v>
      </c>
      <c r="E118" s="3">
        <v>5</v>
      </c>
      <c r="F118" s="3">
        <v>5.5</v>
      </c>
      <c r="G118">
        <v>2.06</v>
      </c>
      <c r="H118" s="3">
        <v>10.3</v>
      </c>
      <c r="I118">
        <v>50</v>
      </c>
      <c r="J118">
        <v>0</v>
      </c>
      <c r="K118">
        <v>42</v>
      </c>
      <c r="L118" s="13">
        <f>(Table2[[#This Row],[STARTING INVENTORY]]-Table2[[#This Row],[ENDING INVENTORY]])/(Table2[[#This Row],[STARTING INVENTORY]])</f>
        <v>0.16</v>
      </c>
      <c r="M118">
        <f>Table2[[#This Row],[STARTING INVENTORY]]-Table2[[#This Row],[ENDING INVENTORY]]</f>
        <v>8</v>
      </c>
    </row>
    <row r="119" spans="1:13">
      <c r="A119" t="s">
        <v>5</v>
      </c>
      <c r="B119" t="s">
        <v>166</v>
      </c>
      <c r="C119" t="s">
        <v>136</v>
      </c>
      <c r="D119" t="s">
        <v>33</v>
      </c>
      <c r="E119" s="3">
        <v>3</v>
      </c>
      <c r="F119" s="3">
        <v>3.3000000000000003</v>
      </c>
      <c r="G119">
        <v>2.0099999999999998</v>
      </c>
      <c r="H119" s="3">
        <v>6.0299999999999994</v>
      </c>
      <c r="I119">
        <v>120</v>
      </c>
      <c r="J119">
        <v>1</v>
      </c>
      <c r="K119">
        <v>100</v>
      </c>
      <c r="L119" s="13">
        <f>(Table2[[#This Row],[STARTING INVENTORY]]-Table2[[#This Row],[ENDING INVENTORY]])/(Table2[[#This Row],[STARTING INVENTORY]])</f>
        <v>0.16666666666666666</v>
      </c>
      <c r="M119">
        <f>Table2[[#This Row],[STARTING INVENTORY]]-Table2[[#This Row],[ENDING INVENTORY]]</f>
        <v>20</v>
      </c>
    </row>
    <row r="120" spans="1:13">
      <c r="A120" t="s">
        <v>5</v>
      </c>
      <c r="B120" t="s">
        <v>166</v>
      </c>
      <c r="C120" t="s">
        <v>142</v>
      </c>
      <c r="D120" t="s">
        <v>33</v>
      </c>
      <c r="E120" s="3">
        <v>2.4</v>
      </c>
      <c r="F120" s="3">
        <v>2.64</v>
      </c>
      <c r="G120">
        <v>1.97</v>
      </c>
      <c r="H120" s="3">
        <v>4.7279999999999998</v>
      </c>
      <c r="I120">
        <v>47</v>
      </c>
      <c r="J120">
        <v>1</v>
      </c>
      <c r="K120">
        <v>3</v>
      </c>
      <c r="L120" s="13">
        <f>(Table2[[#This Row],[STARTING INVENTORY]]-Table2[[#This Row],[ENDING INVENTORY]])/(Table2[[#This Row],[STARTING INVENTORY]])</f>
        <v>0.93617021276595747</v>
      </c>
      <c r="M120">
        <f>Table2[[#This Row],[STARTING INVENTORY]]-Table2[[#This Row],[ENDING INVENTORY]]</f>
        <v>44</v>
      </c>
    </row>
    <row r="121" spans="1:13">
      <c r="A121" t="s">
        <v>5</v>
      </c>
      <c r="B121" t="s">
        <v>166</v>
      </c>
      <c r="C121" t="s">
        <v>148</v>
      </c>
      <c r="D121" t="s">
        <v>33</v>
      </c>
      <c r="E121" s="3">
        <v>3.25</v>
      </c>
      <c r="F121" s="3">
        <v>3.5750000000000002</v>
      </c>
      <c r="G121">
        <v>2.02</v>
      </c>
      <c r="H121" s="3">
        <v>6.5650000000000004</v>
      </c>
      <c r="I121">
        <v>74</v>
      </c>
      <c r="J121">
        <v>4</v>
      </c>
      <c r="K121">
        <v>69</v>
      </c>
      <c r="L121" s="13">
        <f>(Table2[[#This Row],[STARTING INVENTORY]]-Table2[[#This Row],[ENDING INVENTORY]])/(Table2[[#This Row],[STARTING INVENTORY]])</f>
        <v>6.7567567567567571E-2</v>
      </c>
      <c r="M121">
        <f>Table2[[#This Row],[STARTING INVENTORY]]-Table2[[#This Row],[ENDING INVENTORY]]</f>
        <v>5</v>
      </c>
    </row>
    <row r="122" spans="1:13">
      <c r="A122" t="s">
        <v>6</v>
      </c>
      <c r="B122" t="s">
        <v>161</v>
      </c>
      <c r="C122" t="s">
        <v>28</v>
      </c>
      <c r="D122" t="s">
        <v>29</v>
      </c>
      <c r="E122" s="3">
        <v>0.35</v>
      </c>
      <c r="F122" s="3">
        <v>0.36749999999999999</v>
      </c>
      <c r="G122">
        <v>2.0700000000000003</v>
      </c>
      <c r="H122" s="3">
        <v>0.72450000000000003</v>
      </c>
      <c r="I122">
        <v>82</v>
      </c>
      <c r="J122">
        <v>1</v>
      </c>
      <c r="K122">
        <v>18</v>
      </c>
      <c r="L122" s="13">
        <f>(Table2[[#This Row],[STARTING INVENTORY]]-Table2[[#This Row],[ENDING INVENTORY]])/(Table2[[#This Row],[STARTING INVENTORY]])</f>
        <v>0.78048780487804881</v>
      </c>
      <c r="M122">
        <f>Table2[[#This Row],[STARTING INVENTORY]]-Table2[[#This Row],[ENDING INVENTORY]]</f>
        <v>64</v>
      </c>
    </row>
    <row r="123" spans="1:13">
      <c r="A123" t="s">
        <v>6</v>
      </c>
      <c r="B123" t="s">
        <v>161</v>
      </c>
      <c r="C123" t="s">
        <v>36</v>
      </c>
      <c r="D123" t="s">
        <v>29</v>
      </c>
      <c r="E123" s="3">
        <v>0.85</v>
      </c>
      <c r="F123" s="3">
        <v>0.89249999999999996</v>
      </c>
      <c r="G123">
        <v>2.06</v>
      </c>
      <c r="H123" s="3">
        <v>1.7509999999999999</v>
      </c>
      <c r="I123">
        <v>172</v>
      </c>
      <c r="J123">
        <v>3</v>
      </c>
      <c r="K123">
        <v>31</v>
      </c>
      <c r="L123" s="13">
        <f>(Table2[[#This Row],[STARTING INVENTORY]]-Table2[[#This Row],[ENDING INVENTORY]])/(Table2[[#This Row],[STARTING INVENTORY]])</f>
        <v>0.81976744186046513</v>
      </c>
      <c r="M123">
        <f>Table2[[#This Row],[STARTING INVENTORY]]-Table2[[#This Row],[ENDING INVENTORY]]</f>
        <v>141</v>
      </c>
    </row>
    <row r="124" spans="1:13">
      <c r="A124" t="s">
        <v>6</v>
      </c>
      <c r="B124" t="s">
        <v>161</v>
      </c>
      <c r="C124" t="s">
        <v>42</v>
      </c>
      <c r="D124" t="s">
        <v>29</v>
      </c>
      <c r="E124" s="3">
        <v>0.7</v>
      </c>
      <c r="F124" s="3">
        <v>0.73499999999999999</v>
      </c>
      <c r="G124">
        <v>1.96</v>
      </c>
      <c r="H124" s="3">
        <v>1.3719999999999999</v>
      </c>
      <c r="I124">
        <v>54</v>
      </c>
      <c r="J124">
        <v>2</v>
      </c>
      <c r="K124">
        <v>8</v>
      </c>
      <c r="L124" s="13">
        <f>(Table2[[#This Row],[STARTING INVENTORY]]-Table2[[#This Row],[ENDING INVENTORY]])/(Table2[[#This Row],[STARTING INVENTORY]])</f>
        <v>0.85185185185185186</v>
      </c>
      <c r="M124">
        <f>Table2[[#This Row],[STARTING INVENTORY]]-Table2[[#This Row],[ENDING INVENTORY]]</f>
        <v>46</v>
      </c>
    </row>
    <row r="125" spans="1:13">
      <c r="A125" t="s">
        <v>6</v>
      </c>
      <c r="B125" t="s">
        <v>161</v>
      </c>
      <c r="C125" t="s">
        <v>48</v>
      </c>
      <c r="D125" t="s">
        <v>33</v>
      </c>
      <c r="E125" s="3">
        <v>0.35</v>
      </c>
      <c r="F125" s="3">
        <v>0.36749999999999999</v>
      </c>
      <c r="G125">
        <v>2.09</v>
      </c>
      <c r="H125" s="3">
        <v>0.73149999999999993</v>
      </c>
      <c r="I125">
        <v>90</v>
      </c>
      <c r="J125">
        <v>2</v>
      </c>
      <c r="K125">
        <v>11</v>
      </c>
      <c r="L125" s="13">
        <f>(Table2[[#This Row],[STARTING INVENTORY]]-Table2[[#This Row],[ENDING INVENTORY]])/(Table2[[#This Row],[STARTING INVENTORY]])</f>
        <v>0.87777777777777777</v>
      </c>
      <c r="M125">
        <f>Table2[[#This Row],[STARTING INVENTORY]]-Table2[[#This Row],[ENDING INVENTORY]]</f>
        <v>79</v>
      </c>
    </row>
    <row r="126" spans="1:13">
      <c r="A126" t="s">
        <v>6</v>
      </c>
      <c r="B126" t="s">
        <v>161</v>
      </c>
      <c r="C126" t="s">
        <v>54</v>
      </c>
      <c r="D126" t="s">
        <v>33</v>
      </c>
      <c r="E126" s="3">
        <v>0.2</v>
      </c>
      <c r="F126" s="3">
        <v>0.21000000000000002</v>
      </c>
      <c r="G126">
        <v>2</v>
      </c>
      <c r="H126" s="3">
        <v>0.4</v>
      </c>
      <c r="I126">
        <v>77</v>
      </c>
      <c r="J126">
        <v>5</v>
      </c>
      <c r="K126">
        <v>10</v>
      </c>
      <c r="L126" s="13">
        <f>(Table2[[#This Row],[STARTING INVENTORY]]-Table2[[#This Row],[ENDING INVENTORY]])/(Table2[[#This Row],[STARTING INVENTORY]])</f>
        <v>0.87012987012987009</v>
      </c>
      <c r="M126">
        <f>Table2[[#This Row],[STARTING INVENTORY]]-Table2[[#This Row],[ENDING INVENTORY]]</f>
        <v>67</v>
      </c>
    </row>
    <row r="127" spans="1:13">
      <c r="A127" t="s">
        <v>6</v>
      </c>
      <c r="B127" t="s">
        <v>161</v>
      </c>
      <c r="C127" t="s">
        <v>60</v>
      </c>
      <c r="D127" t="s">
        <v>33</v>
      </c>
      <c r="E127" s="3">
        <v>0.75</v>
      </c>
      <c r="F127" s="3">
        <v>0.78750000000000009</v>
      </c>
      <c r="G127">
        <v>2.1</v>
      </c>
      <c r="H127" s="3">
        <v>1.5750000000000002</v>
      </c>
      <c r="I127">
        <v>184</v>
      </c>
      <c r="J127">
        <v>1</v>
      </c>
      <c r="K127">
        <v>45</v>
      </c>
      <c r="L127" s="13">
        <f>(Table2[[#This Row],[STARTING INVENTORY]]-Table2[[#This Row],[ENDING INVENTORY]])/(Table2[[#This Row],[STARTING INVENTORY]])</f>
        <v>0.75543478260869568</v>
      </c>
      <c r="M127">
        <f>Table2[[#This Row],[STARTING INVENTORY]]-Table2[[#This Row],[ENDING INVENTORY]]</f>
        <v>139</v>
      </c>
    </row>
    <row r="128" spans="1:13">
      <c r="A128" t="s">
        <v>6</v>
      </c>
      <c r="B128" t="s">
        <v>161</v>
      </c>
      <c r="C128" t="s">
        <v>66</v>
      </c>
      <c r="D128" t="s">
        <v>29</v>
      </c>
      <c r="E128" s="3">
        <v>0.6</v>
      </c>
      <c r="F128" s="3">
        <v>0.63</v>
      </c>
      <c r="G128">
        <v>2.0300000000000002</v>
      </c>
      <c r="H128" s="3">
        <v>1.2180000000000002</v>
      </c>
      <c r="I128">
        <v>121</v>
      </c>
      <c r="J128">
        <v>4</v>
      </c>
      <c r="K128">
        <v>15</v>
      </c>
      <c r="L128" s="13">
        <f>(Table2[[#This Row],[STARTING INVENTORY]]-Table2[[#This Row],[ENDING INVENTORY]])/(Table2[[#This Row],[STARTING INVENTORY]])</f>
        <v>0.87603305785123964</v>
      </c>
      <c r="M128">
        <f>Table2[[#This Row],[STARTING INVENTORY]]-Table2[[#This Row],[ENDING INVENTORY]]</f>
        <v>106</v>
      </c>
    </row>
    <row r="129" spans="1:13">
      <c r="A129" t="s">
        <v>6</v>
      </c>
      <c r="B129" t="s">
        <v>161</v>
      </c>
      <c r="C129" t="s">
        <v>72</v>
      </c>
      <c r="D129" t="s">
        <v>29</v>
      </c>
      <c r="E129" s="3">
        <v>0.45</v>
      </c>
      <c r="F129" s="3">
        <v>0.47250000000000003</v>
      </c>
      <c r="G129">
        <v>1.95</v>
      </c>
      <c r="H129" s="3">
        <v>0.87749999999999995</v>
      </c>
      <c r="I129">
        <v>61</v>
      </c>
      <c r="J129">
        <v>1</v>
      </c>
      <c r="K129">
        <v>0</v>
      </c>
      <c r="L129" s="13">
        <f>(Table2[[#This Row],[STARTING INVENTORY]]-Table2[[#This Row],[ENDING INVENTORY]])/(Table2[[#This Row],[STARTING INVENTORY]])</f>
        <v>1</v>
      </c>
      <c r="M129">
        <f>Table2[[#This Row],[STARTING INVENTORY]]-Table2[[#This Row],[ENDING INVENTORY]]</f>
        <v>61</v>
      </c>
    </row>
    <row r="130" spans="1:13">
      <c r="A130" t="s">
        <v>6</v>
      </c>
      <c r="B130" t="s">
        <v>161</v>
      </c>
      <c r="C130" t="s">
        <v>78</v>
      </c>
      <c r="D130" t="s">
        <v>29</v>
      </c>
      <c r="E130" s="3">
        <v>0.4</v>
      </c>
      <c r="F130" s="3">
        <v>0.42000000000000004</v>
      </c>
      <c r="G130">
        <v>1.96</v>
      </c>
      <c r="H130" s="3">
        <v>0.78400000000000003</v>
      </c>
      <c r="I130">
        <v>82</v>
      </c>
      <c r="J130">
        <v>1</v>
      </c>
      <c r="K130">
        <v>62</v>
      </c>
      <c r="L130" s="13">
        <f>(Table2[[#This Row],[STARTING INVENTORY]]-Table2[[#This Row],[ENDING INVENTORY]])/(Table2[[#This Row],[STARTING INVENTORY]])</f>
        <v>0.24390243902439024</v>
      </c>
      <c r="M130">
        <f>Table2[[#This Row],[STARTING INVENTORY]]-Table2[[#This Row],[ENDING INVENTORY]]</f>
        <v>20</v>
      </c>
    </row>
    <row r="131" spans="1:13">
      <c r="A131" t="s">
        <v>6</v>
      </c>
      <c r="B131" t="s">
        <v>161</v>
      </c>
      <c r="C131" t="s">
        <v>84</v>
      </c>
      <c r="D131" t="s">
        <v>29</v>
      </c>
      <c r="E131" s="3">
        <v>0.35</v>
      </c>
      <c r="F131" s="3">
        <v>0.36749999999999999</v>
      </c>
      <c r="G131">
        <v>2.0099999999999998</v>
      </c>
      <c r="H131" s="3">
        <v>0.7034999999999999</v>
      </c>
      <c r="I131">
        <v>97</v>
      </c>
      <c r="J131">
        <v>8</v>
      </c>
      <c r="K131">
        <v>20</v>
      </c>
      <c r="L131" s="13">
        <f>(Table2[[#This Row],[STARTING INVENTORY]]-Table2[[#This Row],[ENDING INVENTORY]])/(Table2[[#This Row],[STARTING INVENTORY]])</f>
        <v>0.79381443298969068</v>
      </c>
      <c r="M131">
        <f>Table2[[#This Row],[STARTING INVENTORY]]-Table2[[#This Row],[ENDING INVENTORY]]</f>
        <v>77</v>
      </c>
    </row>
    <row r="132" spans="1:13">
      <c r="A132" t="s">
        <v>6</v>
      </c>
      <c r="B132" t="s">
        <v>161</v>
      </c>
      <c r="C132" t="s">
        <v>90</v>
      </c>
      <c r="D132" t="s">
        <v>29</v>
      </c>
      <c r="E132" s="3">
        <v>0.9</v>
      </c>
      <c r="F132" s="3">
        <v>0.94500000000000006</v>
      </c>
      <c r="G132">
        <v>2.02</v>
      </c>
      <c r="H132" s="3">
        <v>1.8180000000000001</v>
      </c>
      <c r="I132">
        <v>111</v>
      </c>
      <c r="J132">
        <v>0</v>
      </c>
      <c r="K132">
        <v>29</v>
      </c>
      <c r="L132" s="13">
        <f>(Table2[[#This Row],[STARTING INVENTORY]]-Table2[[#This Row],[ENDING INVENTORY]])/(Table2[[#This Row],[STARTING INVENTORY]])</f>
        <v>0.73873873873873874</v>
      </c>
      <c r="M132">
        <f>Table2[[#This Row],[STARTING INVENTORY]]-Table2[[#This Row],[ENDING INVENTORY]]</f>
        <v>82</v>
      </c>
    </row>
    <row r="133" spans="1:13">
      <c r="A133" t="s">
        <v>6</v>
      </c>
      <c r="B133" t="s">
        <v>161</v>
      </c>
      <c r="C133" t="s">
        <v>96</v>
      </c>
      <c r="D133" t="s">
        <v>33</v>
      </c>
      <c r="E133" s="3">
        <v>1</v>
      </c>
      <c r="F133" s="3">
        <v>1.05</v>
      </c>
      <c r="G133">
        <v>1.96</v>
      </c>
      <c r="H133" s="3">
        <v>1.96</v>
      </c>
      <c r="I133">
        <v>86</v>
      </c>
      <c r="J133">
        <v>0</v>
      </c>
      <c r="K133">
        <v>12</v>
      </c>
      <c r="L133" s="13">
        <f>(Table2[[#This Row],[STARTING INVENTORY]]-Table2[[#This Row],[ENDING INVENTORY]])/(Table2[[#This Row],[STARTING INVENTORY]])</f>
        <v>0.86046511627906974</v>
      </c>
      <c r="M133">
        <f>Table2[[#This Row],[STARTING INVENTORY]]-Table2[[#This Row],[ENDING INVENTORY]]</f>
        <v>74</v>
      </c>
    </row>
    <row r="134" spans="1:13">
      <c r="A134" t="s">
        <v>6</v>
      </c>
      <c r="B134" t="s">
        <v>161</v>
      </c>
      <c r="C134" t="s">
        <v>102</v>
      </c>
      <c r="D134" t="s">
        <v>29</v>
      </c>
      <c r="E134" s="3">
        <v>2.56</v>
      </c>
      <c r="F134" s="3">
        <v>2.6880000000000002</v>
      </c>
      <c r="G134">
        <v>2.06</v>
      </c>
      <c r="H134" s="3">
        <v>5.2736000000000001</v>
      </c>
      <c r="I134">
        <v>148</v>
      </c>
      <c r="J134">
        <v>4</v>
      </c>
      <c r="K134">
        <v>3</v>
      </c>
      <c r="L134" s="13">
        <f>(Table2[[#This Row],[STARTING INVENTORY]]-Table2[[#This Row],[ENDING INVENTORY]])/(Table2[[#This Row],[STARTING INVENTORY]])</f>
        <v>0.97972972972972971</v>
      </c>
      <c r="M134">
        <f>Table2[[#This Row],[STARTING INVENTORY]]-Table2[[#This Row],[ENDING INVENTORY]]</f>
        <v>145</v>
      </c>
    </row>
    <row r="135" spans="1:13">
      <c r="A135" t="s">
        <v>6</v>
      </c>
      <c r="B135" t="s">
        <v>161</v>
      </c>
      <c r="C135" t="s">
        <v>108</v>
      </c>
      <c r="D135" t="s">
        <v>29</v>
      </c>
      <c r="E135" s="3">
        <v>0.75</v>
      </c>
      <c r="F135" s="3">
        <v>0.78750000000000009</v>
      </c>
      <c r="G135">
        <v>2.0700000000000003</v>
      </c>
      <c r="H135" s="3">
        <v>1.5525000000000002</v>
      </c>
      <c r="I135">
        <v>153</v>
      </c>
      <c r="J135">
        <v>0</v>
      </c>
      <c r="K135">
        <v>101</v>
      </c>
      <c r="L135" s="13">
        <f>(Table2[[#This Row],[STARTING INVENTORY]]-Table2[[#This Row],[ENDING INVENTORY]])/(Table2[[#This Row],[STARTING INVENTORY]])</f>
        <v>0.33986928104575165</v>
      </c>
      <c r="M135">
        <f>Table2[[#This Row],[STARTING INVENTORY]]-Table2[[#This Row],[ENDING INVENTORY]]</f>
        <v>52</v>
      </c>
    </row>
    <row r="136" spans="1:13">
      <c r="A136" t="s">
        <v>6</v>
      </c>
      <c r="B136" t="s">
        <v>161</v>
      </c>
      <c r="C136" t="s">
        <v>114</v>
      </c>
      <c r="D136" t="s">
        <v>33</v>
      </c>
      <c r="E136" s="3">
        <v>0.4</v>
      </c>
      <c r="F136" s="3">
        <v>0.42000000000000004</v>
      </c>
      <c r="G136">
        <v>2.02</v>
      </c>
      <c r="H136" s="3">
        <v>0.80800000000000005</v>
      </c>
      <c r="I136">
        <v>84</v>
      </c>
      <c r="J136">
        <v>5</v>
      </c>
      <c r="K136">
        <v>58</v>
      </c>
      <c r="L136" s="13">
        <f>(Table2[[#This Row],[STARTING INVENTORY]]-Table2[[#This Row],[ENDING INVENTORY]])/(Table2[[#This Row],[STARTING INVENTORY]])</f>
        <v>0.30952380952380953</v>
      </c>
      <c r="M136">
        <f>Table2[[#This Row],[STARTING INVENTORY]]-Table2[[#This Row],[ENDING INVENTORY]]</f>
        <v>26</v>
      </c>
    </row>
    <row r="137" spans="1:13">
      <c r="A137" t="s">
        <v>6</v>
      </c>
      <c r="B137" t="s">
        <v>161</v>
      </c>
      <c r="C137" t="s">
        <v>120</v>
      </c>
      <c r="D137" t="s">
        <v>29</v>
      </c>
      <c r="E137" s="3">
        <v>1.4</v>
      </c>
      <c r="F137" s="3">
        <v>1.47</v>
      </c>
      <c r="G137">
        <v>2.0300000000000002</v>
      </c>
      <c r="H137" s="3">
        <v>2.8420000000000001</v>
      </c>
      <c r="I137">
        <v>150</v>
      </c>
      <c r="J137">
        <v>1</v>
      </c>
      <c r="K137">
        <v>127</v>
      </c>
      <c r="L137" s="13">
        <f>(Table2[[#This Row],[STARTING INVENTORY]]-Table2[[#This Row],[ENDING INVENTORY]])/(Table2[[#This Row],[STARTING INVENTORY]])</f>
        <v>0.15333333333333332</v>
      </c>
      <c r="M137">
        <f>Table2[[#This Row],[STARTING INVENTORY]]-Table2[[#This Row],[ENDING INVENTORY]]</f>
        <v>23</v>
      </c>
    </row>
    <row r="138" spans="1:13">
      <c r="A138" t="s">
        <v>6</v>
      </c>
      <c r="B138" t="s">
        <v>161</v>
      </c>
      <c r="C138" t="s">
        <v>126</v>
      </c>
      <c r="D138" t="s">
        <v>29</v>
      </c>
      <c r="E138" s="3">
        <v>2</v>
      </c>
      <c r="F138" s="3">
        <v>2.1</v>
      </c>
      <c r="G138">
        <v>2.04</v>
      </c>
      <c r="H138" s="3">
        <v>4.08</v>
      </c>
      <c r="I138">
        <v>180</v>
      </c>
      <c r="J138">
        <v>7</v>
      </c>
      <c r="K138">
        <v>26</v>
      </c>
      <c r="L138" s="13">
        <f>(Table2[[#This Row],[STARTING INVENTORY]]-Table2[[#This Row],[ENDING INVENTORY]])/(Table2[[#This Row],[STARTING INVENTORY]])</f>
        <v>0.85555555555555551</v>
      </c>
      <c r="M138">
        <f>Table2[[#This Row],[STARTING INVENTORY]]-Table2[[#This Row],[ENDING INVENTORY]]</f>
        <v>154</v>
      </c>
    </row>
    <row r="139" spans="1:13">
      <c r="A139" t="s">
        <v>6</v>
      </c>
      <c r="B139" t="s">
        <v>161</v>
      </c>
      <c r="C139" t="s">
        <v>132</v>
      </c>
      <c r="D139" t="s">
        <v>29</v>
      </c>
      <c r="E139" s="3">
        <v>0.45</v>
      </c>
      <c r="F139" s="3">
        <v>0.47250000000000003</v>
      </c>
      <c r="G139">
        <v>2.0099999999999998</v>
      </c>
      <c r="H139" s="3">
        <v>0.90449999999999997</v>
      </c>
      <c r="I139">
        <v>50</v>
      </c>
      <c r="J139">
        <v>4</v>
      </c>
      <c r="K139">
        <v>4</v>
      </c>
      <c r="L139" s="13">
        <f>(Table2[[#This Row],[STARTING INVENTORY]]-Table2[[#This Row],[ENDING INVENTORY]])/(Table2[[#This Row],[STARTING INVENTORY]])</f>
        <v>0.92</v>
      </c>
      <c r="M139">
        <f>Table2[[#This Row],[STARTING INVENTORY]]-Table2[[#This Row],[ENDING INVENTORY]]</f>
        <v>46</v>
      </c>
    </row>
    <row r="140" spans="1:13">
      <c r="A140" t="s">
        <v>6</v>
      </c>
      <c r="B140" t="s">
        <v>161</v>
      </c>
      <c r="C140" t="s">
        <v>138</v>
      </c>
      <c r="D140" t="s">
        <v>33</v>
      </c>
      <c r="E140" s="3">
        <v>1.9</v>
      </c>
      <c r="F140" s="3">
        <v>1.9949999999999999</v>
      </c>
      <c r="G140">
        <v>2.0499999999999998</v>
      </c>
      <c r="H140" s="3">
        <v>3.8949999999999996</v>
      </c>
      <c r="I140">
        <v>54</v>
      </c>
      <c r="J140">
        <v>3</v>
      </c>
      <c r="K140">
        <v>24</v>
      </c>
      <c r="L140" s="13">
        <f>(Table2[[#This Row],[STARTING INVENTORY]]-Table2[[#This Row],[ENDING INVENTORY]])/(Table2[[#This Row],[STARTING INVENTORY]])</f>
        <v>0.55555555555555558</v>
      </c>
      <c r="M140">
        <f>Table2[[#This Row],[STARTING INVENTORY]]-Table2[[#This Row],[ENDING INVENTORY]]</f>
        <v>30</v>
      </c>
    </row>
    <row r="141" spans="1:13">
      <c r="A141" t="s">
        <v>6</v>
      </c>
      <c r="B141" t="s">
        <v>161</v>
      </c>
      <c r="C141" t="s">
        <v>144</v>
      </c>
      <c r="D141" t="s">
        <v>33</v>
      </c>
      <c r="E141" s="3">
        <v>4</v>
      </c>
      <c r="F141" s="3">
        <v>4.2</v>
      </c>
      <c r="G141">
        <v>2.09</v>
      </c>
      <c r="H141" s="3">
        <v>8.36</v>
      </c>
      <c r="I141">
        <v>191</v>
      </c>
      <c r="J141">
        <v>8</v>
      </c>
      <c r="K141">
        <v>130</v>
      </c>
      <c r="L141" s="13">
        <f>(Table2[[#This Row],[STARTING INVENTORY]]-Table2[[#This Row],[ENDING INVENTORY]])/(Table2[[#This Row],[STARTING INVENTORY]])</f>
        <v>0.3193717277486911</v>
      </c>
      <c r="M141">
        <f>Table2[[#This Row],[STARTING INVENTORY]]-Table2[[#This Row],[ENDING INVENTORY]]</f>
        <v>61</v>
      </c>
    </row>
    <row r="142" spans="1:13">
      <c r="A142" t="s">
        <v>6</v>
      </c>
      <c r="B142" t="s">
        <v>162</v>
      </c>
      <c r="C142" t="s">
        <v>30</v>
      </c>
      <c r="D142" t="s">
        <v>29</v>
      </c>
      <c r="E142" s="3">
        <v>2.85</v>
      </c>
      <c r="F142" s="3">
        <v>2.9925000000000002</v>
      </c>
      <c r="G142">
        <v>2.09</v>
      </c>
      <c r="H142" s="3">
        <v>5.9565000000000001</v>
      </c>
      <c r="I142">
        <v>46</v>
      </c>
      <c r="J142">
        <v>1</v>
      </c>
      <c r="K142">
        <v>32</v>
      </c>
      <c r="L142" s="13">
        <f>(Table2[[#This Row],[STARTING INVENTORY]]-Table2[[#This Row],[ENDING INVENTORY]])/(Table2[[#This Row],[STARTING INVENTORY]])</f>
        <v>0.30434782608695654</v>
      </c>
      <c r="M142">
        <f>Table2[[#This Row],[STARTING INVENTORY]]-Table2[[#This Row],[ENDING INVENTORY]]</f>
        <v>14</v>
      </c>
    </row>
    <row r="143" spans="1:13">
      <c r="A143" t="s">
        <v>6</v>
      </c>
      <c r="B143" t="s">
        <v>162</v>
      </c>
      <c r="C143" t="s">
        <v>37</v>
      </c>
      <c r="D143" t="s">
        <v>29</v>
      </c>
      <c r="E143" s="3">
        <v>2.5</v>
      </c>
      <c r="F143" s="3">
        <v>2.625</v>
      </c>
      <c r="G143">
        <v>2.08</v>
      </c>
      <c r="H143" s="3">
        <v>5.2</v>
      </c>
      <c r="I143">
        <v>28</v>
      </c>
      <c r="J143">
        <v>8</v>
      </c>
      <c r="K143">
        <v>3</v>
      </c>
      <c r="L143" s="13">
        <f>(Table2[[#This Row],[STARTING INVENTORY]]-Table2[[#This Row],[ENDING INVENTORY]])/(Table2[[#This Row],[STARTING INVENTORY]])</f>
        <v>0.8928571428571429</v>
      </c>
      <c r="M143">
        <f>Table2[[#This Row],[STARTING INVENTORY]]-Table2[[#This Row],[ENDING INVENTORY]]</f>
        <v>25</v>
      </c>
    </row>
    <row r="144" spans="1:13">
      <c r="A144" t="s">
        <v>6</v>
      </c>
      <c r="B144" t="s">
        <v>162</v>
      </c>
      <c r="C144" t="s">
        <v>43</v>
      </c>
      <c r="D144" t="s">
        <v>29</v>
      </c>
      <c r="E144" s="3">
        <v>2.1</v>
      </c>
      <c r="F144" s="3">
        <v>2.2050000000000001</v>
      </c>
      <c r="G144">
        <v>1.95</v>
      </c>
      <c r="H144" s="3">
        <v>4.0949999999999998</v>
      </c>
      <c r="I144">
        <v>98</v>
      </c>
      <c r="J144">
        <v>0</v>
      </c>
      <c r="K144">
        <v>24</v>
      </c>
      <c r="L144" s="13">
        <f>(Table2[[#This Row],[STARTING INVENTORY]]-Table2[[#This Row],[ENDING INVENTORY]])/(Table2[[#This Row],[STARTING INVENTORY]])</f>
        <v>0.75510204081632648</v>
      </c>
      <c r="M144">
        <f>Table2[[#This Row],[STARTING INVENTORY]]-Table2[[#This Row],[ENDING INVENTORY]]</f>
        <v>74</v>
      </c>
    </row>
    <row r="145" spans="1:13">
      <c r="A145" t="s">
        <v>6</v>
      </c>
      <c r="B145" t="s">
        <v>162</v>
      </c>
      <c r="C145" t="s">
        <v>49</v>
      </c>
      <c r="D145" t="s">
        <v>29</v>
      </c>
      <c r="E145" s="3">
        <v>1</v>
      </c>
      <c r="F145" s="3">
        <v>1.05</v>
      </c>
      <c r="G145">
        <v>2.0700000000000003</v>
      </c>
      <c r="H145" s="3">
        <v>2.0700000000000003</v>
      </c>
      <c r="I145">
        <v>34</v>
      </c>
      <c r="J145">
        <v>2</v>
      </c>
      <c r="K145">
        <v>19</v>
      </c>
      <c r="L145" s="13">
        <f>(Table2[[#This Row],[STARTING INVENTORY]]-Table2[[#This Row],[ENDING INVENTORY]])/(Table2[[#This Row],[STARTING INVENTORY]])</f>
        <v>0.44117647058823528</v>
      </c>
      <c r="M145">
        <f>Table2[[#This Row],[STARTING INVENTORY]]-Table2[[#This Row],[ENDING INVENTORY]]</f>
        <v>15</v>
      </c>
    </row>
    <row r="146" spans="1:13">
      <c r="A146" t="s">
        <v>6</v>
      </c>
      <c r="B146" t="s">
        <v>162</v>
      </c>
      <c r="C146" t="s">
        <v>55</v>
      </c>
      <c r="D146" t="s">
        <v>29</v>
      </c>
      <c r="E146" s="3">
        <v>0.9</v>
      </c>
      <c r="F146" s="3">
        <v>0.94500000000000006</v>
      </c>
      <c r="G146">
        <v>1.99</v>
      </c>
      <c r="H146" s="3">
        <v>1.7909999999999999</v>
      </c>
      <c r="I146">
        <v>61</v>
      </c>
      <c r="J146">
        <v>1</v>
      </c>
      <c r="K146">
        <v>33</v>
      </c>
      <c r="L146" s="13">
        <f>(Table2[[#This Row],[STARTING INVENTORY]]-Table2[[#This Row],[ENDING INVENTORY]])/(Table2[[#This Row],[STARTING INVENTORY]])</f>
        <v>0.45901639344262296</v>
      </c>
      <c r="M146">
        <f>Table2[[#This Row],[STARTING INVENTORY]]-Table2[[#This Row],[ENDING INVENTORY]]</f>
        <v>28</v>
      </c>
    </row>
    <row r="147" spans="1:13">
      <c r="A147" t="s">
        <v>6</v>
      </c>
      <c r="B147" t="s">
        <v>162</v>
      </c>
      <c r="C147" t="s">
        <v>61</v>
      </c>
      <c r="D147" t="s">
        <v>29</v>
      </c>
      <c r="E147" s="3">
        <v>1.9</v>
      </c>
      <c r="F147" s="3">
        <v>1.9949999999999999</v>
      </c>
      <c r="G147">
        <v>2.0099999999999998</v>
      </c>
      <c r="H147" s="3">
        <v>3.8189999999999995</v>
      </c>
      <c r="I147">
        <v>96</v>
      </c>
      <c r="J147">
        <v>2</v>
      </c>
      <c r="K147">
        <v>25</v>
      </c>
      <c r="L147" s="13">
        <f>(Table2[[#This Row],[STARTING INVENTORY]]-Table2[[#This Row],[ENDING INVENTORY]])/(Table2[[#This Row],[STARTING INVENTORY]])</f>
        <v>0.73958333333333337</v>
      </c>
      <c r="M147">
        <f>Table2[[#This Row],[STARTING INVENTORY]]-Table2[[#This Row],[ENDING INVENTORY]]</f>
        <v>71</v>
      </c>
    </row>
    <row r="148" spans="1:13">
      <c r="A148" t="s">
        <v>6</v>
      </c>
      <c r="B148" t="s">
        <v>162</v>
      </c>
      <c r="C148" t="s">
        <v>67</v>
      </c>
      <c r="D148" t="s">
        <v>29</v>
      </c>
      <c r="E148" s="3">
        <v>1.3</v>
      </c>
      <c r="F148" s="3">
        <v>1.3650000000000002</v>
      </c>
      <c r="G148">
        <v>2.0300000000000002</v>
      </c>
      <c r="H148" s="3">
        <v>2.6390000000000002</v>
      </c>
      <c r="I148">
        <v>70</v>
      </c>
      <c r="J148">
        <v>0</v>
      </c>
      <c r="K148">
        <v>4</v>
      </c>
      <c r="L148" s="13">
        <f>(Table2[[#This Row],[STARTING INVENTORY]]-Table2[[#This Row],[ENDING INVENTORY]])/(Table2[[#This Row],[STARTING INVENTORY]])</f>
        <v>0.94285714285714284</v>
      </c>
      <c r="M148">
        <f>Table2[[#This Row],[STARTING INVENTORY]]-Table2[[#This Row],[ENDING INVENTORY]]</f>
        <v>66</v>
      </c>
    </row>
    <row r="149" spans="1:13">
      <c r="A149" t="s">
        <v>6</v>
      </c>
      <c r="B149" t="s">
        <v>162</v>
      </c>
      <c r="C149" t="s">
        <v>73</v>
      </c>
      <c r="D149" t="s">
        <v>29</v>
      </c>
      <c r="E149" s="3">
        <v>4</v>
      </c>
      <c r="F149" s="3">
        <v>4.2</v>
      </c>
      <c r="G149">
        <v>2.1</v>
      </c>
      <c r="H149" s="3">
        <v>8.4</v>
      </c>
      <c r="I149">
        <v>82</v>
      </c>
      <c r="J149">
        <v>5</v>
      </c>
      <c r="K149">
        <v>60</v>
      </c>
      <c r="L149" s="13">
        <f>(Table2[[#This Row],[STARTING INVENTORY]]-Table2[[#This Row],[ENDING INVENTORY]])/(Table2[[#This Row],[STARTING INVENTORY]])</f>
        <v>0.26829268292682928</v>
      </c>
      <c r="M149">
        <f>Table2[[#This Row],[STARTING INVENTORY]]-Table2[[#This Row],[ENDING INVENTORY]]</f>
        <v>22</v>
      </c>
    </row>
    <row r="150" spans="1:13">
      <c r="A150" t="s">
        <v>6</v>
      </c>
      <c r="B150" t="s">
        <v>162</v>
      </c>
      <c r="C150" t="s">
        <v>79</v>
      </c>
      <c r="D150" t="s">
        <v>29</v>
      </c>
      <c r="E150" s="3">
        <v>2.2000000000000002</v>
      </c>
      <c r="F150" s="3">
        <v>2.3100000000000005</v>
      </c>
      <c r="G150">
        <v>1.97</v>
      </c>
      <c r="H150" s="3">
        <v>4.3340000000000005</v>
      </c>
      <c r="I150">
        <v>71</v>
      </c>
      <c r="J150">
        <v>5</v>
      </c>
      <c r="K150">
        <v>8</v>
      </c>
      <c r="L150" s="13">
        <f>(Table2[[#This Row],[STARTING INVENTORY]]-Table2[[#This Row],[ENDING INVENTORY]])/(Table2[[#This Row],[STARTING INVENTORY]])</f>
        <v>0.88732394366197187</v>
      </c>
      <c r="M150">
        <f>Table2[[#This Row],[STARTING INVENTORY]]-Table2[[#This Row],[ENDING INVENTORY]]</f>
        <v>63</v>
      </c>
    </row>
    <row r="151" spans="1:13">
      <c r="A151" t="s">
        <v>6</v>
      </c>
      <c r="B151" t="s">
        <v>162</v>
      </c>
      <c r="C151" t="s">
        <v>85</v>
      </c>
      <c r="D151" t="s">
        <v>29</v>
      </c>
      <c r="E151" s="3">
        <v>2.75</v>
      </c>
      <c r="F151" s="3">
        <v>2.8875000000000002</v>
      </c>
      <c r="G151">
        <v>1.97</v>
      </c>
      <c r="H151" s="3">
        <v>5.4174999999999995</v>
      </c>
      <c r="I151">
        <v>23</v>
      </c>
      <c r="J151">
        <v>8</v>
      </c>
      <c r="K151">
        <v>3</v>
      </c>
      <c r="L151" s="13">
        <f>(Table2[[#This Row],[STARTING INVENTORY]]-Table2[[#This Row],[ENDING INVENTORY]])/(Table2[[#This Row],[STARTING INVENTORY]])</f>
        <v>0.86956521739130432</v>
      </c>
      <c r="M151">
        <f>Table2[[#This Row],[STARTING INVENTORY]]-Table2[[#This Row],[ENDING INVENTORY]]</f>
        <v>20</v>
      </c>
    </row>
    <row r="152" spans="1:13">
      <c r="A152" t="s">
        <v>6</v>
      </c>
      <c r="B152" t="s">
        <v>162</v>
      </c>
      <c r="C152" t="s">
        <v>91</v>
      </c>
      <c r="D152" t="s">
        <v>29</v>
      </c>
      <c r="E152" s="3">
        <v>3.5</v>
      </c>
      <c r="F152" s="3">
        <v>3.6750000000000003</v>
      </c>
      <c r="G152">
        <v>1.97</v>
      </c>
      <c r="H152" s="3">
        <v>6.8949999999999996</v>
      </c>
      <c r="I152">
        <v>42</v>
      </c>
      <c r="J152">
        <v>0</v>
      </c>
      <c r="K152">
        <v>37</v>
      </c>
      <c r="L152" s="13">
        <f>(Table2[[#This Row],[STARTING INVENTORY]]-Table2[[#This Row],[ENDING INVENTORY]])/(Table2[[#This Row],[STARTING INVENTORY]])</f>
        <v>0.11904761904761904</v>
      </c>
      <c r="M152">
        <f>Table2[[#This Row],[STARTING INVENTORY]]-Table2[[#This Row],[ENDING INVENTORY]]</f>
        <v>5</v>
      </c>
    </row>
    <row r="153" spans="1:13">
      <c r="A153" t="s">
        <v>6</v>
      </c>
      <c r="B153" t="s">
        <v>162</v>
      </c>
      <c r="C153" t="s">
        <v>97</v>
      </c>
      <c r="D153" t="s">
        <v>29</v>
      </c>
      <c r="E153" s="3">
        <v>8</v>
      </c>
      <c r="F153" s="3">
        <v>8.4</v>
      </c>
      <c r="G153">
        <v>1.98</v>
      </c>
      <c r="H153" s="3">
        <v>15.84</v>
      </c>
      <c r="I153">
        <v>34</v>
      </c>
      <c r="J153">
        <v>3</v>
      </c>
      <c r="K153">
        <v>17</v>
      </c>
      <c r="L153" s="13">
        <f>(Table2[[#This Row],[STARTING INVENTORY]]-Table2[[#This Row],[ENDING INVENTORY]])/(Table2[[#This Row],[STARTING INVENTORY]])</f>
        <v>0.5</v>
      </c>
      <c r="M153">
        <f>Table2[[#This Row],[STARTING INVENTORY]]-Table2[[#This Row],[ENDING INVENTORY]]</f>
        <v>17</v>
      </c>
    </row>
    <row r="154" spans="1:13">
      <c r="A154" t="s">
        <v>6</v>
      </c>
      <c r="B154" t="s">
        <v>162</v>
      </c>
      <c r="C154" t="s">
        <v>103</v>
      </c>
      <c r="D154" t="s">
        <v>29</v>
      </c>
      <c r="E154" s="3">
        <v>7</v>
      </c>
      <c r="F154" s="3">
        <v>7.3500000000000005</v>
      </c>
      <c r="G154">
        <v>2.0700000000000003</v>
      </c>
      <c r="H154" s="3">
        <v>14.490000000000002</v>
      </c>
      <c r="I154">
        <v>62</v>
      </c>
      <c r="J154">
        <v>2</v>
      </c>
      <c r="K154">
        <v>5</v>
      </c>
      <c r="L154" s="13">
        <f>(Table2[[#This Row],[STARTING INVENTORY]]-Table2[[#This Row],[ENDING INVENTORY]])/(Table2[[#This Row],[STARTING INVENTORY]])</f>
        <v>0.91935483870967738</v>
      </c>
      <c r="M154">
        <f>Table2[[#This Row],[STARTING INVENTORY]]-Table2[[#This Row],[ENDING INVENTORY]]</f>
        <v>57</v>
      </c>
    </row>
    <row r="155" spans="1:13">
      <c r="A155" t="s">
        <v>6</v>
      </c>
      <c r="B155" t="s">
        <v>162</v>
      </c>
      <c r="C155" t="s">
        <v>109</v>
      </c>
      <c r="D155" t="s">
        <v>29</v>
      </c>
      <c r="E155" s="3">
        <v>1.8</v>
      </c>
      <c r="F155" s="3">
        <v>1.8900000000000001</v>
      </c>
      <c r="G155">
        <v>1.96</v>
      </c>
      <c r="H155" s="3">
        <v>3.528</v>
      </c>
      <c r="I155">
        <v>48</v>
      </c>
      <c r="J155">
        <v>1</v>
      </c>
      <c r="K155">
        <v>18</v>
      </c>
      <c r="L155" s="13">
        <f>(Table2[[#This Row],[STARTING INVENTORY]]-Table2[[#This Row],[ENDING INVENTORY]])/(Table2[[#This Row],[STARTING INVENTORY]])</f>
        <v>0.625</v>
      </c>
      <c r="M155">
        <f>Table2[[#This Row],[STARTING INVENTORY]]-Table2[[#This Row],[ENDING INVENTORY]]</f>
        <v>30</v>
      </c>
    </row>
    <row r="156" spans="1:13">
      <c r="A156" t="s">
        <v>6</v>
      </c>
      <c r="B156" t="s">
        <v>162</v>
      </c>
      <c r="C156" t="s">
        <v>115</v>
      </c>
      <c r="D156" t="s">
        <v>29</v>
      </c>
      <c r="E156" s="3">
        <v>9</v>
      </c>
      <c r="F156" s="3">
        <v>9.4500000000000011</v>
      </c>
      <c r="G156">
        <v>1.95</v>
      </c>
      <c r="H156" s="3">
        <v>17.55</v>
      </c>
      <c r="I156">
        <v>55</v>
      </c>
      <c r="J156">
        <v>1</v>
      </c>
      <c r="K156">
        <v>43</v>
      </c>
      <c r="L156" s="13">
        <f>(Table2[[#This Row],[STARTING INVENTORY]]-Table2[[#This Row],[ENDING INVENTORY]])/(Table2[[#This Row],[STARTING INVENTORY]])</f>
        <v>0.21818181818181817</v>
      </c>
      <c r="M156">
        <f>Table2[[#This Row],[STARTING INVENTORY]]-Table2[[#This Row],[ENDING INVENTORY]]</f>
        <v>12</v>
      </c>
    </row>
    <row r="157" spans="1:13">
      <c r="A157" t="s">
        <v>6</v>
      </c>
      <c r="B157" t="s">
        <v>162</v>
      </c>
      <c r="C157" t="s">
        <v>121</v>
      </c>
      <c r="D157" t="s">
        <v>29</v>
      </c>
      <c r="E157" s="3">
        <v>0.95</v>
      </c>
      <c r="F157" s="3">
        <v>0.99749999999999994</v>
      </c>
      <c r="G157">
        <v>2.0700000000000003</v>
      </c>
      <c r="H157" s="3">
        <v>1.9665000000000001</v>
      </c>
      <c r="I157">
        <v>32</v>
      </c>
      <c r="J157">
        <v>1</v>
      </c>
      <c r="K157">
        <v>24</v>
      </c>
      <c r="L157" s="13">
        <f>(Table2[[#This Row],[STARTING INVENTORY]]-Table2[[#This Row],[ENDING INVENTORY]])/(Table2[[#This Row],[STARTING INVENTORY]])</f>
        <v>0.25</v>
      </c>
      <c r="M157">
        <f>Table2[[#This Row],[STARTING INVENTORY]]-Table2[[#This Row],[ENDING INVENTORY]]</f>
        <v>8</v>
      </c>
    </row>
    <row r="158" spans="1:13">
      <c r="A158" t="s">
        <v>6</v>
      </c>
      <c r="B158" t="s">
        <v>162</v>
      </c>
      <c r="C158" t="s">
        <v>127</v>
      </c>
      <c r="D158" t="s">
        <v>29</v>
      </c>
      <c r="E158" s="3">
        <v>1.85</v>
      </c>
      <c r="F158" s="3">
        <v>1.9425000000000001</v>
      </c>
      <c r="G158">
        <v>2.0099999999999998</v>
      </c>
      <c r="H158" s="3">
        <v>3.7184999999999997</v>
      </c>
      <c r="I158">
        <v>51</v>
      </c>
      <c r="J158">
        <v>4</v>
      </c>
      <c r="K158">
        <v>10</v>
      </c>
      <c r="L158" s="13">
        <f>(Table2[[#This Row],[STARTING INVENTORY]]-Table2[[#This Row],[ENDING INVENTORY]])/(Table2[[#This Row],[STARTING INVENTORY]])</f>
        <v>0.80392156862745101</v>
      </c>
      <c r="M158">
        <f>Table2[[#This Row],[STARTING INVENTORY]]-Table2[[#This Row],[ENDING INVENTORY]]</f>
        <v>41</v>
      </c>
    </row>
    <row r="159" spans="1:13">
      <c r="A159" t="s">
        <v>6</v>
      </c>
      <c r="B159" t="s">
        <v>162</v>
      </c>
      <c r="C159" t="s">
        <v>133</v>
      </c>
      <c r="D159" t="s">
        <v>29</v>
      </c>
      <c r="E159" s="3">
        <v>5.5</v>
      </c>
      <c r="F159" s="3">
        <v>5.7750000000000004</v>
      </c>
      <c r="G159">
        <v>1.98</v>
      </c>
      <c r="H159" s="3">
        <v>10.89</v>
      </c>
      <c r="I159">
        <v>90</v>
      </c>
      <c r="J159">
        <v>2</v>
      </c>
      <c r="K159">
        <v>65</v>
      </c>
      <c r="L159" s="13">
        <f>(Table2[[#This Row],[STARTING INVENTORY]]-Table2[[#This Row],[ENDING INVENTORY]])/(Table2[[#This Row],[STARTING INVENTORY]])</f>
        <v>0.27777777777777779</v>
      </c>
      <c r="M159">
        <f>Table2[[#This Row],[STARTING INVENTORY]]-Table2[[#This Row],[ENDING INVENTORY]]</f>
        <v>25</v>
      </c>
    </row>
    <row r="160" spans="1:13">
      <c r="A160" t="s">
        <v>6</v>
      </c>
      <c r="B160" t="s">
        <v>162</v>
      </c>
      <c r="C160" t="s">
        <v>139</v>
      </c>
      <c r="D160" t="s">
        <v>29</v>
      </c>
      <c r="E160" s="3">
        <v>1.9</v>
      </c>
      <c r="F160" s="3">
        <v>1.9949999999999999</v>
      </c>
      <c r="G160">
        <v>2.02</v>
      </c>
      <c r="H160" s="3">
        <v>3.8379999999999996</v>
      </c>
      <c r="I160">
        <v>78</v>
      </c>
      <c r="J160">
        <v>2</v>
      </c>
      <c r="K160">
        <v>46</v>
      </c>
      <c r="L160" s="13">
        <f>(Table2[[#This Row],[STARTING INVENTORY]]-Table2[[#This Row],[ENDING INVENTORY]])/(Table2[[#This Row],[STARTING INVENTORY]])</f>
        <v>0.41025641025641024</v>
      </c>
      <c r="M160">
        <f>Table2[[#This Row],[STARTING INVENTORY]]-Table2[[#This Row],[ENDING INVENTORY]]</f>
        <v>32</v>
      </c>
    </row>
    <row r="161" spans="1:13">
      <c r="A161" t="s">
        <v>6</v>
      </c>
      <c r="B161" t="s">
        <v>162</v>
      </c>
      <c r="C161" t="s">
        <v>145</v>
      </c>
      <c r="D161" t="s">
        <v>29</v>
      </c>
      <c r="E161" s="3">
        <v>2.75</v>
      </c>
      <c r="F161" s="3">
        <v>2.8875000000000002</v>
      </c>
      <c r="G161">
        <v>2.02</v>
      </c>
      <c r="H161" s="3">
        <v>5.5549999999999997</v>
      </c>
      <c r="I161">
        <v>47</v>
      </c>
      <c r="J161">
        <v>0</v>
      </c>
      <c r="K161">
        <v>43</v>
      </c>
      <c r="L161" s="13">
        <f>(Table2[[#This Row],[STARTING INVENTORY]]-Table2[[#This Row],[ENDING INVENTORY]])/(Table2[[#This Row],[STARTING INVENTORY]])</f>
        <v>8.5106382978723402E-2</v>
      </c>
      <c r="M161">
        <f>Table2[[#This Row],[STARTING INVENTORY]]-Table2[[#This Row],[ENDING INVENTORY]]</f>
        <v>4</v>
      </c>
    </row>
    <row r="162" spans="1:13">
      <c r="A162" t="s">
        <v>6</v>
      </c>
      <c r="B162" t="s">
        <v>163</v>
      </c>
      <c r="C162" t="s">
        <v>32</v>
      </c>
      <c r="D162" t="s">
        <v>33</v>
      </c>
      <c r="E162" s="3">
        <v>3.25</v>
      </c>
      <c r="F162" s="3">
        <v>3.4125000000000001</v>
      </c>
      <c r="G162">
        <v>2.04</v>
      </c>
      <c r="H162" s="3">
        <v>6.63</v>
      </c>
      <c r="I162">
        <v>115</v>
      </c>
      <c r="J162">
        <v>0</v>
      </c>
      <c r="K162">
        <v>107</v>
      </c>
      <c r="L162" s="13">
        <f>(Table2[[#This Row],[STARTING INVENTORY]]-Table2[[#This Row],[ENDING INVENTORY]])/(Table2[[#This Row],[STARTING INVENTORY]])</f>
        <v>6.9565217391304349E-2</v>
      </c>
      <c r="M162">
        <f>Table2[[#This Row],[STARTING INVENTORY]]-Table2[[#This Row],[ENDING INVENTORY]]</f>
        <v>8</v>
      </c>
    </row>
    <row r="163" spans="1:13">
      <c r="A163" t="s">
        <v>6</v>
      </c>
      <c r="B163" t="s">
        <v>163</v>
      </c>
      <c r="C163" t="s">
        <v>39</v>
      </c>
      <c r="D163" t="s">
        <v>33</v>
      </c>
      <c r="E163" s="3">
        <v>0.9</v>
      </c>
      <c r="F163" s="3">
        <v>0.94500000000000006</v>
      </c>
      <c r="G163">
        <v>2.0099999999999998</v>
      </c>
      <c r="H163" s="3">
        <v>1.8089999999999999</v>
      </c>
      <c r="I163">
        <v>91</v>
      </c>
      <c r="J163">
        <v>0</v>
      </c>
      <c r="K163">
        <v>72</v>
      </c>
      <c r="L163" s="13">
        <f>(Table2[[#This Row],[STARTING INVENTORY]]-Table2[[#This Row],[ENDING INVENTORY]])/(Table2[[#This Row],[STARTING INVENTORY]])</f>
        <v>0.2087912087912088</v>
      </c>
      <c r="M163">
        <f>Table2[[#This Row],[STARTING INVENTORY]]-Table2[[#This Row],[ENDING INVENTORY]]</f>
        <v>19</v>
      </c>
    </row>
    <row r="164" spans="1:13">
      <c r="A164" t="s">
        <v>6</v>
      </c>
      <c r="B164" t="s">
        <v>163</v>
      </c>
      <c r="C164" t="s">
        <v>45</v>
      </c>
      <c r="D164" t="s">
        <v>33</v>
      </c>
      <c r="E164" s="3">
        <v>1.6</v>
      </c>
      <c r="F164" s="3">
        <v>1.6800000000000002</v>
      </c>
      <c r="G164">
        <v>2</v>
      </c>
      <c r="H164" s="3">
        <v>3.2</v>
      </c>
      <c r="I164">
        <v>94</v>
      </c>
      <c r="J164">
        <v>8</v>
      </c>
      <c r="K164">
        <v>84</v>
      </c>
      <c r="L164" s="13">
        <f>(Table2[[#This Row],[STARTING INVENTORY]]-Table2[[#This Row],[ENDING INVENTORY]])/(Table2[[#This Row],[STARTING INVENTORY]])</f>
        <v>0.10638297872340426</v>
      </c>
      <c r="M164">
        <f>Table2[[#This Row],[STARTING INVENTORY]]-Table2[[#This Row],[ENDING INVENTORY]]</f>
        <v>10</v>
      </c>
    </row>
    <row r="165" spans="1:13">
      <c r="A165" t="s">
        <v>6</v>
      </c>
      <c r="B165" t="s">
        <v>163</v>
      </c>
      <c r="C165" t="s">
        <v>51</v>
      </c>
      <c r="D165" t="s">
        <v>33</v>
      </c>
      <c r="E165" s="3">
        <v>1.1000000000000001</v>
      </c>
      <c r="F165" s="3">
        <v>1.1550000000000002</v>
      </c>
      <c r="G165">
        <v>1.99</v>
      </c>
      <c r="H165" s="3">
        <v>2.1890000000000001</v>
      </c>
      <c r="I165">
        <v>111</v>
      </c>
      <c r="J165">
        <v>0</v>
      </c>
      <c r="K165">
        <v>87</v>
      </c>
      <c r="L165" s="13">
        <f>(Table2[[#This Row],[STARTING INVENTORY]]-Table2[[#This Row],[ENDING INVENTORY]])/(Table2[[#This Row],[STARTING INVENTORY]])</f>
        <v>0.21621621621621623</v>
      </c>
      <c r="M165">
        <f>Table2[[#This Row],[STARTING INVENTORY]]-Table2[[#This Row],[ENDING INVENTORY]]</f>
        <v>24</v>
      </c>
    </row>
    <row r="166" spans="1:13">
      <c r="A166" t="s">
        <v>6</v>
      </c>
      <c r="B166" t="s">
        <v>163</v>
      </c>
      <c r="C166" t="s">
        <v>57</v>
      </c>
      <c r="D166" t="s">
        <v>33</v>
      </c>
      <c r="E166" s="3">
        <v>0.95</v>
      </c>
      <c r="F166" s="3">
        <v>0.99749999999999994</v>
      </c>
      <c r="G166">
        <v>2.0499999999999998</v>
      </c>
      <c r="H166" s="3">
        <v>1.9474999999999998</v>
      </c>
      <c r="I166">
        <v>106</v>
      </c>
      <c r="J166">
        <v>0</v>
      </c>
      <c r="K166">
        <v>97</v>
      </c>
      <c r="L166" s="13">
        <f>(Table2[[#This Row],[STARTING INVENTORY]]-Table2[[#This Row],[ENDING INVENTORY]])/(Table2[[#This Row],[STARTING INVENTORY]])</f>
        <v>8.4905660377358486E-2</v>
      </c>
      <c r="M166">
        <f>Table2[[#This Row],[STARTING INVENTORY]]-Table2[[#This Row],[ENDING INVENTORY]]</f>
        <v>9</v>
      </c>
    </row>
    <row r="167" spans="1:13">
      <c r="A167" t="s">
        <v>6</v>
      </c>
      <c r="B167" t="s">
        <v>163</v>
      </c>
      <c r="C167" t="s">
        <v>63</v>
      </c>
      <c r="D167" t="s">
        <v>33</v>
      </c>
      <c r="E167" s="3">
        <v>2.75</v>
      </c>
      <c r="F167" s="3">
        <v>2.8875000000000002</v>
      </c>
      <c r="G167">
        <v>2.0700000000000003</v>
      </c>
      <c r="H167" s="3">
        <v>5.6925000000000008</v>
      </c>
      <c r="I167">
        <v>55</v>
      </c>
      <c r="J167">
        <v>1</v>
      </c>
      <c r="K167">
        <v>21</v>
      </c>
      <c r="L167" s="13">
        <f>(Table2[[#This Row],[STARTING INVENTORY]]-Table2[[#This Row],[ENDING INVENTORY]])/(Table2[[#This Row],[STARTING INVENTORY]])</f>
        <v>0.61818181818181817</v>
      </c>
      <c r="M167">
        <f>Table2[[#This Row],[STARTING INVENTORY]]-Table2[[#This Row],[ENDING INVENTORY]]</f>
        <v>34</v>
      </c>
    </row>
    <row r="168" spans="1:13">
      <c r="A168" t="s">
        <v>6</v>
      </c>
      <c r="B168" t="s">
        <v>163</v>
      </c>
      <c r="C168" t="s">
        <v>69</v>
      </c>
      <c r="D168" t="s">
        <v>33</v>
      </c>
      <c r="E168" s="3">
        <v>1.9</v>
      </c>
      <c r="F168" s="3">
        <v>1.9949999999999999</v>
      </c>
      <c r="G168">
        <v>1.95</v>
      </c>
      <c r="H168" s="3">
        <v>3.7049999999999996</v>
      </c>
      <c r="I168">
        <v>77</v>
      </c>
      <c r="J168">
        <v>5</v>
      </c>
      <c r="K168">
        <v>2</v>
      </c>
      <c r="L168" s="13">
        <f>(Table2[[#This Row],[STARTING INVENTORY]]-Table2[[#This Row],[ENDING INVENTORY]])/(Table2[[#This Row],[STARTING INVENTORY]])</f>
        <v>0.97402597402597402</v>
      </c>
      <c r="M168">
        <f>Table2[[#This Row],[STARTING INVENTORY]]-Table2[[#This Row],[ENDING INVENTORY]]</f>
        <v>75</v>
      </c>
    </row>
    <row r="169" spans="1:13">
      <c r="A169" t="s">
        <v>6</v>
      </c>
      <c r="B169" t="s">
        <v>163</v>
      </c>
      <c r="C169" t="s">
        <v>75</v>
      </c>
      <c r="D169" t="s">
        <v>33</v>
      </c>
      <c r="E169" s="3">
        <v>4</v>
      </c>
      <c r="F169" s="3">
        <v>4.2</v>
      </c>
      <c r="G169">
        <v>2.06</v>
      </c>
      <c r="H169" s="3">
        <v>8.24</v>
      </c>
      <c r="I169">
        <v>77</v>
      </c>
      <c r="J169">
        <v>8</v>
      </c>
      <c r="K169">
        <v>29</v>
      </c>
      <c r="L169" s="13">
        <f>(Table2[[#This Row],[STARTING INVENTORY]]-Table2[[#This Row],[ENDING INVENTORY]])/(Table2[[#This Row],[STARTING INVENTORY]])</f>
        <v>0.62337662337662336</v>
      </c>
      <c r="M169">
        <f>Table2[[#This Row],[STARTING INVENTORY]]-Table2[[#This Row],[ENDING INVENTORY]]</f>
        <v>48</v>
      </c>
    </row>
    <row r="170" spans="1:13">
      <c r="A170" t="s">
        <v>6</v>
      </c>
      <c r="B170" t="s">
        <v>163</v>
      </c>
      <c r="C170" t="s">
        <v>81</v>
      </c>
      <c r="D170" t="s">
        <v>33</v>
      </c>
      <c r="E170" s="3">
        <v>0.8</v>
      </c>
      <c r="F170" s="3">
        <v>0.84000000000000008</v>
      </c>
      <c r="G170">
        <v>2.04</v>
      </c>
      <c r="H170" s="3">
        <v>1.6320000000000001</v>
      </c>
      <c r="I170">
        <v>157</v>
      </c>
      <c r="J170">
        <v>5</v>
      </c>
      <c r="K170">
        <v>20</v>
      </c>
      <c r="L170" s="13">
        <f>(Table2[[#This Row],[STARTING INVENTORY]]-Table2[[#This Row],[ENDING INVENTORY]])/(Table2[[#This Row],[STARTING INVENTORY]])</f>
        <v>0.87261146496815289</v>
      </c>
      <c r="M170">
        <f>Table2[[#This Row],[STARTING INVENTORY]]-Table2[[#This Row],[ENDING INVENTORY]]</f>
        <v>137</v>
      </c>
    </row>
    <row r="171" spans="1:13">
      <c r="A171" t="s">
        <v>6</v>
      </c>
      <c r="B171" t="s">
        <v>163</v>
      </c>
      <c r="C171" t="s">
        <v>87</v>
      </c>
      <c r="D171" t="s">
        <v>33</v>
      </c>
      <c r="E171" s="3">
        <v>4.25</v>
      </c>
      <c r="F171" s="3">
        <v>4.4625000000000004</v>
      </c>
      <c r="G171">
        <v>2.02</v>
      </c>
      <c r="H171" s="3">
        <v>8.5850000000000009</v>
      </c>
      <c r="I171">
        <v>93</v>
      </c>
      <c r="J171">
        <v>3</v>
      </c>
      <c r="K171">
        <v>27</v>
      </c>
      <c r="L171" s="13">
        <f>(Table2[[#This Row],[STARTING INVENTORY]]-Table2[[#This Row],[ENDING INVENTORY]])/(Table2[[#This Row],[STARTING INVENTORY]])</f>
        <v>0.70967741935483875</v>
      </c>
      <c r="M171">
        <f>Table2[[#This Row],[STARTING INVENTORY]]-Table2[[#This Row],[ENDING INVENTORY]]</f>
        <v>66</v>
      </c>
    </row>
    <row r="172" spans="1:13">
      <c r="A172" t="s">
        <v>6</v>
      </c>
      <c r="B172" t="s">
        <v>163</v>
      </c>
      <c r="C172" t="s">
        <v>93</v>
      </c>
      <c r="D172" t="s">
        <v>33</v>
      </c>
      <c r="E172" s="3">
        <v>1.6</v>
      </c>
      <c r="F172" s="3">
        <v>1.6800000000000002</v>
      </c>
      <c r="G172">
        <v>2.04</v>
      </c>
      <c r="H172" s="3">
        <v>3.2640000000000002</v>
      </c>
      <c r="I172">
        <v>133</v>
      </c>
      <c r="J172">
        <v>2</v>
      </c>
      <c r="K172">
        <v>33</v>
      </c>
      <c r="L172" s="13">
        <f>(Table2[[#This Row],[STARTING INVENTORY]]-Table2[[#This Row],[ENDING INVENTORY]])/(Table2[[#This Row],[STARTING INVENTORY]])</f>
        <v>0.75187969924812026</v>
      </c>
      <c r="M172">
        <f>Table2[[#This Row],[STARTING INVENTORY]]-Table2[[#This Row],[ENDING INVENTORY]]</f>
        <v>100</v>
      </c>
    </row>
    <row r="173" spans="1:13">
      <c r="A173" t="s">
        <v>6</v>
      </c>
      <c r="B173" t="s">
        <v>163</v>
      </c>
      <c r="C173" t="s">
        <v>99</v>
      </c>
      <c r="D173" t="s">
        <v>33</v>
      </c>
      <c r="E173" s="3">
        <v>1.65</v>
      </c>
      <c r="F173" s="3">
        <v>1.7324999999999999</v>
      </c>
      <c r="G173">
        <v>1.97</v>
      </c>
      <c r="H173" s="3">
        <v>3.2504999999999997</v>
      </c>
      <c r="I173">
        <v>79</v>
      </c>
      <c r="J173">
        <v>0</v>
      </c>
      <c r="K173">
        <v>40</v>
      </c>
      <c r="L173" s="13">
        <f>(Table2[[#This Row],[STARTING INVENTORY]]-Table2[[#This Row],[ENDING INVENTORY]])/(Table2[[#This Row],[STARTING INVENTORY]])</f>
        <v>0.49367088607594939</v>
      </c>
      <c r="M173">
        <f>Table2[[#This Row],[STARTING INVENTORY]]-Table2[[#This Row],[ENDING INVENTORY]]</f>
        <v>39</v>
      </c>
    </row>
    <row r="174" spans="1:13">
      <c r="A174" t="s">
        <v>6</v>
      </c>
      <c r="B174" t="s">
        <v>163</v>
      </c>
      <c r="C174" t="s">
        <v>105</v>
      </c>
      <c r="D174" t="s">
        <v>33</v>
      </c>
      <c r="E174" s="3">
        <v>2.2000000000000002</v>
      </c>
      <c r="F174" s="3">
        <v>2.3100000000000005</v>
      </c>
      <c r="G174">
        <v>2.08</v>
      </c>
      <c r="H174" s="3">
        <v>4.5760000000000005</v>
      </c>
      <c r="I174">
        <v>111</v>
      </c>
      <c r="J174">
        <v>8</v>
      </c>
      <c r="K174">
        <v>50</v>
      </c>
      <c r="L174" s="13">
        <f>(Table2[[#This Row],[STARTING INVENTORY]]-Table2[[#This Row],[ENDING INVENTORY]])/(Table2[[#This Row],[STARTING INVENTORY]])</f>
        <v>0.5495495495495496</v>
      </c>
      <c r="M174">
        <f>Table2[[#This Row],[STARTING INVENTORY]]-Table2[[#This Row],[ENDING INVENTORY]]</f>
        <v>61</v>
      </c>
    </row>
    <row r="175" spans="1:13">
      <c r="A175" t="s">
        <v>6</v>
      </c>
      <c r="B175" t="s">
        <v>163</v>
      </c>
      <c r="C175" t="s">
        <v>111</v>
      </c>
      <c r="D175" t="s">
        <v>33</v>
      </c>
      <c r="E175" s="3">
        <v>4</v>
      </c>
      <c r="F175" s="3">
        <v>4.2</v>
      </c>
      <c r="G175">
        <v>2.0300000000000002</v>
      </c>
      <c r="H175" s="3">
        <v>8.120000000000001</v>
      </c>
      <c r="I175">
        <v>124</v>
      </c>
      <c r="J175">
        <v>4</v>
      </c>
      <c r="K175">
        <v>46</v>
      </c>
      <c r="L175" s="13">
        <f>(Table2[[#This Row],[STARTING INVENTORY]]-Table2[[#This Row],[ENDING INVENTORY]])/(Table2[[#This Row],[STARTING INVENTORY]])</f>
        <v>0.62903225806451613</v>
      </c>
      <c r="M175">
        <f>Table2[[#This Row],[STARTING INVENTORY]]-Table2[[#This Row],[ENDING INVENTORY]]</f>
        <v>78</v>
      </c>
    </row>
    <row r="176" spans="1:13">
      <c r="A176" t="s">
        <v>6</v>
      </c>
      <c r="B176" t="s">
        <v>163</v>
      </c>
      <c r="C176" t="s">
        <v>117</v>
      </c>
      <c r="D176" t="s">
        <v>33</v>
      </c>
      <c r="E176" s="3">
        <v>5.25</v>
      </c>
      <c r="F176" s="3">
        <v>5.5125000000000002</v>
      </c>
      <c r="G176">
        <v>2.1</v>
      </c>
      <c r="H176" s="3">
        <v>11.025</v>
      </c>
      <c r="I176">
        <v>141</v>
      </c>
      <c r="J176">
        <v>3</v>
      </c>
      <c r="K176">
        <v>81</v>
      </c>
      <c r="L176" s="13">
        <f>(Table2[[#This Row],[STARTING INVENTORY]]-Table2[[#This Row],[ENDING INVENTORY]])/(Table2[[#This Row],[STARTING INVENTORY]])</f>
        <v>0.42553191489361702</v>
      </c>
      <c r="M176">
        <f>Table2[[#This Row],[STARTING INVENTORY]]-Table2[[#This Row],[ENDING INVENTORY]]</f>
        <v>60</v>
      </c>
    </row>
    <row r="177" spans="1:13">
      <c r="A177" t="s">
        <v>6</v>
      </c>
      <c r="B177" t="s">
        <v>163</v>
      </c>
      <c r="C177" t="s">
        <v>123</v>
      </c>
      <c r="D177" t="s">
        <v>33</v>
      </c>
      <c r="E177" s="3">
        <v>2</v>
      </c>
      <c r="F177" s="3">
        <v>2.1</v>
      </c>
      <c r="G177">
        <v>2.1</v>
      </c>
      <c r="H177" s="3">
        <v>4.2</v>
      </c>
      <c r="I177">
        <v>138</v>
      </c>
      <c r="J177">
        <v>4</v>
      </c>
      <c r="K177">
        <v>57</v>
      </c>
      <c r="L177" s="13">
        <f>(Table2[[#This Row],[STARTING INVENTORY]]-Table2[[#This Row],[ENDING INVENTORY]])/(Table2[[#This Row],[STARTING INVENTORY]])</f>
        <v>0.58695652173913049</v>
      </c>
      <c r="M177">
        <f>Table2[[#This Row],[STARTING INVENTORY]]-Table2[[#This Row],[ENDING INVENTORY]]</f>
        <v>81</v>
      </c>
    </row>
    <row r="178" spans="1:13">
      <c r="A178" t="s">
        <v>6</v>
      </c>
      <c r="B178" t="s">
        <v>163</v>
      </c>
      <c r="C178" t="s">
        <v>129</v>
      </c>
      <c r="D178" t="s">
        <v>33</v>
      </c>
      <c r="E178" s="3">
        <v>2.8</v>
      </c>
      <c r="F178" s="3">
        <v>2.94</v>
      </c>
      <c r="G178">
        <v>1.99</v>
      </c>
      <c r="H178" s="3">
        <v>5.5720000000000001</v>
      </c>
      <c r="I178">
        <v>152</v>
      </c>
      <c r="J178">
        <v>4</v>
      </c>
      <c r="K178">
        <v>74</v>
      </c>
      <c r="L178" s="13">
        <f>(Table2[[#This Row],[STARTING INVENTORY]]-Table2[[#This Row],[ENDING INVENTORY]])/(Table2[[#This Row],[STARTING INVENTORY]])</f>
        <v>0.51315789473684215</v>
      </c>
      <c r="M178">
        <f>Table2[[#This Row],[STARTING INVENTORY]]-Table2[[#This Row],[ENDING INVENTORY]]</f>
        <v>78</v>
      </c>
    </row>
    <row r="179" spans="1:13">
      <c r="A179" t="s">
        <v>6</v>
      </c>
      <c r="B179" t="s">
        <v>163</v>
      </c>
      <c r="C179" t="s">
        <v>135</v>
      </c>
      <c r="D179" t="s">
        <v>33</v>
      </c>
      <c r="E179" s="3">
        <v>1.35</v>
      </c>
      <c r="F179" s="3">
        <v>1.4175000000000002</v>
      </c>
      <c r="G179">
        <v>2.02</v>
      </c>
      <c r="H179" s="3">
        <v>2.7270000000000003</v>
      </c>
      <c r="I179">
        <v>111</v>
      </c>
      <c r="J179">
        <v>3</v>
      </c>
      <c r="K179">
        <v>56</v>
      </c>
      <c r="L179" s="13">
        <f>(Table2[[#This Row],[STARTING INVENTORY]]-Table2[[#This Row],[ENDING INVENTORY]])/(Table2[[#This Row],[STARTING INVENTORY]])</f>
        <v>0.49549549549549549</v>
      </c>
      <c r="M179">
        <f>Table2[[#This Row],[STARTING INVENTORY]]-Table2[[#This Row],[ENDING INVENTORY]]</f>
        <v>55</v>
      </c>
    </row>
    <row r="180" spans="1:13">
      <c r="A180" t="s">
        <v>6</v>
      </c>
      <c r="B180" t="s">
        <v>163</v>
      </c>
      <c r="C180" t="s">
        <v>141</v>
      </c>
      <c r="D180" t="s">
        <v>33</v>
      </c>
      <c r="E180" s="3">
        <v>2.25</v>
      </c>
      <c r="F180" s="3">
        <v>2.3625000000000003</v>
      </c>
      <c r="G180">
        <v>2.08</v>
      </c>
      <c r="H180" s="3">
        <v>4.68</v>
      </c>
      <c r="I180">
        <v>146</v>
      </c>
      <c r="J180">
        <v>9</v>
      </c>
      <c r="K180">
        <v>22</v>
      </c>
      <c r="L180" s="13">
        <f>(Table2[[#This Row],[STARTING INVENTORY]]-Table2[[#This Row],[ENDING INVENTORY]])/(Table2[[#This Row],[STARTING INVENTORY]])</f>
        <v>0.84931506849315064</v>
      </c>
      <c r="M180">
        <f>Table2[[#This Row],[STARTING INVENTORY]]-Table2[[#This Row],[ENDING INVENTORY]]</f>
        <v>124</v>
      </c>
    </row>
    <row r="181" spans="1:13">
      <c r="A181" t="s">
        <v>6</v>
      </c>
      <c r="B181" t="s">
        <v>163</v>
      </c>
      <c r="C181" t="s">
        <v>147</v>
      </c>
      <c r="D181" t="s">
        <v>33</v>
      </c>
      <c r="E181" s="3">
        <v>2.8</v>
      </c>
      <c r="F181" s="3">
        <v>2.94</v>
      </c>
      <c r="G181">
        <v>2.0499999999999998</v>
      </c>
      <c r="H181" s="3">
        <v>5.7399999999999993</v>
      </c>
      <c r="I181">
        <v>50</v>
      </c>
      <c r="J181">
        <v>7</v>
      </c>
      <c r="K181">
        <v>21</v>
      </c>
      <c r="L181" s="13">
        <f>(Table2[[#This Row],[STARTING INVENTORY]]-Table2[[#This Row],[ENDING INVENTORY]])/(Table2[[#This Row],[STARTING INVENTORY]])</f>
        <v>0.57999999999999996</v>
      </c>
      <c r="M181">
        <f>Table2[[#This Row],[STARTING INVENTORY]]-Table2[[#This Row],[ENDING INVENTORY]]</f>
        <v>29</v>
      </c>
    </row>
    <row r="182" spans="1:13">
      <c r="A182" t="s">
        <v>6</v>
      </c>
      <c r="B182" t="s">
        <v>164</v>
      </c>
      <c r="C182" t="s">
        <v>31</v>
      </c>
      <c r="D182" t="s">
        <v>29</v>
      </c>
      <c r="E182" s="3">
        <v>5.25</v>
      </c>
      <c r="F182" s="3">
        <v>5.5125000000000002</v>
      </c>
      <c r="G182">
        <v>1.98</v>
      </c>
      <c r="H182" s="3">
        <v>10.395</v>
      </c>
      <c r="I182">
        <v>56</v>
      </c>
      <c r="J182">
        <v>3</v>
      </c>
      <c r="K182">
        <v>16</v>
      </c>
      <c r="L182" s="13">
        <f>(Table2[[#This Row],[STARTING INVENTORY]]-Table2[[#This Row],[ENDING INVENTORY]])/(Table2[[#This Row],[STARTING INVENTORY]])</f>
        <v>0.7142857142857143</v>
      </c>
      <c r="M182">
        <f>Table2[[#This Row],[STARTING INVENTORY]]-Table2[[#This Row],[ENDING INVENTORY]]</f>
        <v>40</v>
      </c>
    </row>
    <row r="183" spans="1:13">
      <c r="A183" t="s">
        <v>6</v>
      </c>
      <c r="B183" t="s">
        <v>164</v>
      </c>
      <c r="C183" t="s">
        <v>38</v>
      </c>
      <c r="D183" t="s">
        <v>29</v>
      </c>
      <c r="E183" s="3">
        <v>4.75</v>
      </c>
      <c r="F183" s="3">
        <v>4.9874999999999998</v>
      </c>
      <c r="G183">
        <v>2.0099999999999998</v>
      </c>
      <c r="H183" s="3">
        <v>9.5474999999999994</v>
      </c>
      <c r="I183">
        <v>91</v>
      </c>
      <c r="J183">
        <v>3</v>
      </c>
      <c r="K183">
        <v>68</v>
      </c>
      <c r="L183" s="13">
        <f>(Table2[[#This Row],[STARTING INVENTORY]]-Table2[[#This Row],[ENDING INVENTORY]])/(Table2[[#This Row],[STARTING INVENTORY]])</f>
        <v>0.25274725274725274</v>
      </c>
      <c r="M183">
        <f>Table2[[#This Row],[STARTING INVENTORY]]-Table2[[#This Row],[ENDING INVENTORY]]</f>
        <v>23</v>
      </c>
    </row>
    <row r="184" spans="1:13">
      <c r="A184" t="s">
        <v>6</v>
      </c>
      <c r="B184" t="s">
        <v>164</v>
      </c>
      <c r="C184" t="s">
        <v>44</v>
      </c>
      <c r="D184" t="s">
        <v>29</v>
      </c>
      <c r="E184" s="3">
        <v>6.5</v>
      </c>
      <c r="F184" s="3">
        <v>6.8250000000000002</v>
      </c>
      <c r="G184">
        <v>1.96</v>
      </c>
      <c r="H184" s="3">
        <v>12.74</v>
      </c>
      <c r="I184">
        <v>106</v>
      </c>
      <c r="J184">
        <v>0</v>
      </c>
      <c r="K184">
        <v>10</v>
      </c>
      <c r="L184" s="13">
        <f>(Table2[[#This Row],[STARTING INVENTORY]]-Table2[[#This Row],[ENDING INVENTORY]])/(Table2[[#This Row],[STARTING INVENTORY]])</f>
        <v>0.90566037735849059</v>
      </c>
      <c r="M184">
        <f>Table2[[#This Row],[STARTING INVENTORY]]-Table2[[#This Row],[ENDING INVENTORY]]</f>
        <v>96</v>
      </c>
    </row>
    <row r="185" spans="1:13">
      <c r="A185" t="s">
        <v>6</v>
      </c>
      <c r="B185" t="s">
        <v>164</v>
      </c>
      <c r="C185" t="s">
        <v>50</v>
      </c>
      <c r="D185" t="s">
        <v>29</v>
      </c>
      <c r="E185" s="3">
        <v>5.75</v>
      </c>
      <c r="F185" s="3">
        <v>6.0375000000000005</v>
      </c>
      <c r="G185">
        <v>1.95</v>
      </c>
      <c r="H185" s="3">
        <v>11.2125</v>
      </c>
      <c r="I185">
        <v>32</v>
      </c>
      <c r="J185">
        <v>3</v>
      </c>
      <c r="K185">
        <v>29</v>
      </c>
      <c r="L185" s="13">
        <f>(Table2[[#This Row],[STARTING INVENTORY]]-Table2[[#This Row],[ENDING INVENTORY]])/(Table2[[#This Row],[STARTING INVENTORY]])</f>
        <v>9.375E-2</v>
      </c>
      <c r="M185">
        <f>Table2[[#This Row],[STARTING INVENTORY]]-Table2[[#This Row],[ENDING INVENTORY]]</f>
        <v>3</v>
      </c>
    </row>
    <row r="186" spans="1:13">
      <c r="A186" t="s">
        <v>6</v>
      </c>
      <c r="B186" t="s">
        <v>164</v>
      </c>
      <c r="C186" t="s">
        <v>56</v>
      </c>
      <c r="D186" t="s">
        <v>29</v>
      </c>
      <c r="E186" s="3">
        <v>5.5</v>
      </c>
      <c r="F186" s="3">
        <v>5.7750000000000004</v>
      </c>
      <c r="G186">
        <v>2.0300000000000002</v>
      </c>
      <c r="H186" s="3">
        <v>11.165000000000001</v>
      </c>
      <c r="I186">
        <v>99</v>
      </c>
      <c r="J186">
        <v>0</v>
      </c>
      <c r="K186">
        <v>14</v>
      </c>
      <c r="L186" s="13">
        <f>(Table2[[#This Row],[STARTING INVENTORY]]-Table2[[#This Row],[ENDING INVENTORY]])/(Table2[[#This Row],[STARTING INVENTORY]])</f>
        <v>0.85858585858585856</v>
      </c>
      <c r="M186">
        <f>Table2[[#This Row],[STARTING INVENTORY]]-Table2[[#This Row],[ENDING INVENTORY]]</f>
        <v>85</v>
      </c>
    </row>
    <row r="187" spans="1:13">
      <c r="A187" t="s">
        <v>6</v>
      </c>
      <c r="B187" t="s">
        <v>164</v>
      </c>
      <c r="C187" t="s">
        <v>62</v>
      </c>
      <c r="D187" t="s">
        <v>29</v>
      </c>
      <c r="E187" s="3">
        <v>4.25</v>
      </c>
      <c r="F187" s="3">
        <v>4.4625000000000004</v>
      </c>
      <c r="G187">
        <v>2.1</v>
      </c>
      <c r="H187" s="3">
        <v>8.9250000000000007</v>
      </c>
      <c r="I187">
        <v>101</v>
      </c>
      <c r="J187">
        <v>2</v>
      </c>
      <c r="K187">
        <v>90</v>
      </c>
      <c r="L187" s="13">
        <f>(Table2[[#This Row],[STARTING INVENTORY]]-Table2[[#This Row],[ENDING INVENTORY]])/(Table2[[#This Row],[STARTING INVENTORY]])</f>
        <v>0.10891089108910891</v>
      </c>
      <c r="M187">
        <f>Table2[[#This Row],[STARTING INVENTORY]]-Table2[[#This Row],[ENDING INVENTORY]]</f>
        <v>11</v>
      </c>
    </row>
    <row r="188" spans="1:13">
      <c r="A188" t="s">
        <v>6</v>
      </c>
      <c r="B188" t="s">
        <v>164</v>
      </c>
      <c r="C188" t="s">
        <v>68</v>
      </c>
      <c r="D188" t="s">
        <v>29</v>
      </c>
      <c r="E188" s="3">
        <v>5.0999999999999996</v>
      </c>
      <c r="F188" s="3">
        <v>5.3549999999999995</v>
      </c>
      <c r="G188">
        <v>2.0499999999999998</v>
      </c>
      <c r="H188" s="3">
        <v>10.454999999999998</v>
      </c>
      <c r="I188">
        <v>56</v>
      </c>
      <c r="J188">
        <v>10</v>
      </c>
      <c r="K188">
        <v>34</v>
      </c>
      <c r="L188" s="13">
        <f>(Table2[[#This Row],[STARTING INVENTORY]]-Table2[[#This Row],[ENDING INVENTORY]])/(Table2[[#This Row],[STARTING INVENTORY]])</f>
        <v>0.39285714285714285</v>
      </c>
      <c r="M188">
        <f>Table2[[#This Row],[STARTING INVENTORY]]-Table2[[#This Row],[ENDING INVENTORY]]</f>
        <v>22</v>
      </c>
    </row>
    <row r="189" spans="1:13">
      <c r="A189" t="s">
        <v>6</v>
      </c>
      <c r="B189" t="s">
        <v>164</v>
      </c>
      <c r="C189" t="s">
        <v>74</v>
      </c>
      <c r="D189" t="s">
        <v>29</v>
      </c>
      <c r="E189" s="3">
        <v>2.8</v>
      </c>
      <c r="F189" s="3">
        <v>2.94</v>
      </c>
      <c r="G189">
        <v>1.96</v>
      </c>
      <c r="H189" s="3">
        <v>5.4879999999999995</v>
      </c>
      <c r="I189">
        <v>38</v>
      </c>
      <c r="J189">
        <v>2</v>
      </c>
      <c r="K189">
        <v>32</v>
      </c>
      <c r="L189" s="13">
        <f>(Table2[[#This Row],[STARTING INVENTORY]]-Table2[[#This Row],[ENDING INVENTORY]])/(Table2[[#This Row],[STARTING INVENTORY]])</f>
        <v>0.15789473684210525</v>
      </c>
      <c r="M189">
        <f>Table2[[#This Row],[STARTING INVENTORY]]-Table2[[#This Row],[ENDING INVENTORY]]</f>
        <v>6</v>
      </c>
    </row>
    <row r="190" spans="1:13">
      <c r="A190" t="s">
        <v>6</v>
      </c>
      <c r="B190" t="s">
        <v>164</v>
      </c>
      <c r="C190" t="s">
        <v>80</v>
      </c>
      <c r="D190" t="s">
        <v>29</v>
      </c>
      <c r="E190" s="3">
        <v>4</v>
      </c>
      <c r="F190" s="3">
        <v>4.2</v>
      </c>
      <c r="G190">
        <v>1.97</v>
      </c>
      <c r="H190" s="3">
        <v>7.88</v>
      </c>
      <c r="I190">
        <v>91</v>
      </c>
      <c r="J190">
        <v>2</v>
      </c>
      <c r="K190">
        <v>83</v>
      </c>
      <c r="L190" s="13">
        <f>(Table2[[#This Row],[STARTING INVENTORY]]-Table2[[#This Row],[ENDING INVENTORY]])/(Table2[[#This Row],[STARTING INVENTORY]])</f>
        <v>8.7912087912087919E-2</v>
      </c>
      <c r="M190">
        <f>Table2[[#This Row],[STARTING INVENTORY]]-Table2[[#This Row],[ENDING INVENTORY]]</f>
        <v>8</v>
      </c>
    </row>
    <row r="191" spans="1:13">
      <c r="A191" t="s">
        <v>6</v>
      </c>
      <c r="B191" t="s">
        <v>164</v>
      </c>
      <c r="C191" t="s">
        <v>86</v>
      </c>
      <c r="D191" t="s">
        <v>29</v>
      </c>
      <c r="E191" s="3">
        <v>9</v>
      </c>
      <c r="F191" s="3">
        <v>9.4500000000000011</v>
      </c>
      <c r="G191">
        <v>2.02</v>
      </c>
      <c r="H191" s="3">
        <v>18.18</v>
      </c>
      <c r="I191">
        <v>66</v>
      </c>
      <c r="J191">
        <v>1</v>
      </c>
      <c r="K191">
        <v>15</v>
      </c>
      <c r="L191" s="13">
        <f>(Table2[[#This Row],[STARTING INVENTORY]]-Table2[[#This Row],[ENDING INVENTORY]])/(Table2[[#This Row],[STARTING INVENTORY]])</f>
        <v>0.77272727272727271</v>
      </c>
      <c r="M191">
        <f>Table2[[#This Row],[STARTING INVENTORY]]-Table2[[#This Row],[ENDING INVENTORY]]</f>
        <v>51</v>
      </c>
    </row>
    <row r="192" spans="1:13">
      <c r="A192" t="s">
        <v>6</v>
      </c>
      <c r="B192" t="s">
        <v>164</v>
      </c>
      <c r="C192" t="s">
        <v>92</v>
      </c>
      <c r="D192" t="s">
        <v>29</v>
      </c>
      <c r="E192" s="3">
        <v>2.75</v>
      </c>
      <c r="F192" s="3">
        <v>2.8875000000000002</v>
      </c>
      <c r="G192">
        <v>1.97</v>
      </c>
      <c r="H192" s="3">
        <v>5.4174999999999995</v>
      </c>
      <c r="I192">
        <v>80</v>
      </c>
      <c r="J192">
        <v>0</v>
      </c>
      <c r="K192">
        <v>33</v>
      </c>
      <c r="L192" s="13">
        <f>(Table2[[#This Row],[STARTING INVENTORY]]-Table2[[#This Row],[ENDING INVENTORY]])/(Table2[[#This Row],[STARTING INVENTORY]])</f>
        <v>0.58750000000000002</v>
      </c>
      <c r="M192">
        <f>Table2[[#This Row],[STARTING INVENTORY]]-Table2[[#This Row],[ENDING INVENTORY]]</f>
        <v>47</v>
      </c>
    </row>
    <row r="193" spans="1:13">
      <c r="A193" t="s">
        <v>6</v>
      </c>
      <c r="B193" t="s">
        <v>164</v>
      </c>
      <c r="C193" t="s">
        <v>98</v>
      </c>
      <c r="D193" t="s">
        <v>29</v>
      </c>
      <c r="E193" s="3">
        <v>3.9</v>
      </c>
      <c r="F193" s="3">
        <v>4.0949999999999998</v>
      </c>
      <c r="G193">
        <v>2.0499999999999998</v>
      </c>
      <c r="H193" s="3">
        <v>7.9949999999999992</v>
      </c>
      <c r="I193">
        <v>73</v>
      </c>
      <c r="J193">
        <v>4</v>
      </c>
      <c r="K193">
        <v>65</v>
      </c>
      <c r="L193" s="13">
        <f>(Table2[[#This Row],[STARTING INVENTORY]]-Table2[[#This Row],[ENDING INVENTORY]])/(Table2[[#This Row],[STARTING INVENTORY]])</f>
        <v>0.1095890410958904</v>
      </c>
      <c r="M193">
        <f>Table2[[#This Row],[STARTING INVENTORY]]-Table2[[#This Row],[ENDING INVENTORY]]</f>
        <v>8</v>
      </c>
    </row>
    <row r="194" spans="1:13">
      <c r="A194" t="s">
        <v>6</v>
      </c>
      <c r="B194" t="s">
        <v>164</v>
      </c>
      <c r="C194" t="s">
        <v>104</v>
      </c>
      <c r="D194" t="s">
        <v>29</v>
      </c>
      <c r="E194" s="3">
        <v>4.3</v>
      </c>
      <c r="F194" s="3">
        <v>4.5149999999999997</v>
      </c>
      <c r="G194">
        <v>2.04</v>
      </c>
      <c r="H194" s="3">
        <v>8.7720000000000002</v>
      </c>
      <c r="I194">
        <v>53</v>
      </c>
      <c r="J194">
        <v>0</v>
      </c>
      <c r="K194">
        <v>34</v>
      </c>
      <c r="L194" s="13">
        <f>(Table2[[#This Row],[STARTING INVENTORY]]-Table2[[#This Row],[ENDING INVENTORY]])/(Table2[[#This Row],[STARTING INVENTORY]])</f>
        <v>0.35849056603773582</v>
      </c>
      <c r="M194">
        <f>Table2[[#This Row],[STARTING INVENTORY]]-Table2[[#This Row],[ENDING INVENTORY]]</f>
        <v>19</v>
      </c>
    </row>
    <row r="195" spans="1:13">
      <c r="A195" t="s">
        <v>6</v>
      </c>
      <c r="B195" t="s">
        <v>164</v>
      </c>
      <c r="C195" t="s">
        <v>110</v>
      </c>
      <c r="D195" t="s">
        <v>29</v>
      </c>
      <c r="E195" s="3">
        <v>4</v>
      </c>
      <c r="F195" s="3">
        <v>4.2</v>
      </c>
      <c r="G195">
        <v>2.1</v>
      </c>
      <c r="H195" s="3">
        <v>8.4</v>
      </c>
      <c r="I195">
        <v>108</v>
      </c>
      <c r="J195">
        <v>0</v>
      </c>
      <c r="K195">
        <v>39</v>
      </c>
      <c r="L195" s="13">
        <f>(Table2[[#This Row],[STARTING INVENTORY]]-Table2[[#This Row],[ENDING INVENTORY]])/(Table2[[#This Row],[STARTING INVENTORY]])</f>
        <v>0.63888888888888884</v>
      </c>
      <c r="M195">
        <f>Table2[[#This Row],[STARTING INVENTORY]]-Table2[[#This Row],[ENDING INVENTORY]]</f>
        <v>69</v>
      </c>
    </row>
    <row r="196" spans="1:13">
      <c r="A196" t="s">
        <v>6</v>
      </c>
      <c r="B196" t="s">
        <v>164</v>
      </c>
      <c r="C196" t="s">
        <v>116</v>
      </c>
      <c r="D196" t="s">
        <v>29</v>
      </c>
      <c r="E196" s="3">
        <v>4.75</v>
      </c>
      <c r="F196" s="3">
        <v>4.9874999999999998</v>
      </c>
      <c r="G196">
        <v>2.08</v>
      </c>
      <c r="H196" s="3">
        <v>9.8800000000000008</v>
      </c>
      <c r="I196">
        <v>88</v>
      </c>
      <c r="J196">
        <v>1</v>
      </c>
      <c r="K196">
        <v>27</v>
      </c>
      <c r="L196" s="13">
        <f>(Table2[[#This Row],[STARTING INVENTORY]]-Table2[[#This Row],[ENDING INVENTORY]])/(Table2[[#This Row],[STARTING INVENTORY]])</f>
        <v>0.69318181818181823</v>
      </c>
      <c r="M196">
        <f>Table2[[#This Row],[STARTING INVENTORY]]-Table2[[#This Row],[ENDING INVENTORY]]</f>
        <v>61</v>
      </c>
    </row>
    <row r="197" spans="1:13">
      <c r="A197" t="s">
        <v>6</v>
      </c>
      <c r="B197" t="s">
        <v>164</v>
      </c>
      <c r="C197" t="s">
        <v>122</v>
      </c>
      <c r="D197" t="s">
        <v>29</v>
      </c>
      <c r="E197" s="3">
        <v>2.25</v>
      </c>
      <c r="F197" s="3">
        <v>2.3625000000000003</v>
      </c>
      <c r="G197">
        <v>2</v>
      </c>
      <c r="H197" s="3">
        <v>4.5</v>
      </c>
      <c r="I197">
        <v>61</v>
      </c>
      <c r="J197">
        <v>5</v>
      </c>
      <c r="K197">
        <v>46</v>
      </c>
      <c r="L197" s="13">
        <f>(Table2[[#This Row],[STARTING INVENTORY]]-Table2[[#This Row],[ENDING INVENTORY]])/(Table2[[#This Row],[STARTING INVENTORY]])</f>
        <v>0.24590163934426229</v>
      </c>
      <c r="M197">
        <f>Table2[[#This Row],[STARTING INVENTORY]]-Table2[[#This Row],[ENDING INVENTORY]]</f>
        <v>15</v>
      </c>
    </row>
    <row r="198" spans="1:13">
      <c r="A198" t="s">
        <v>6</v>
      </c>
      <c r="B198" t="s">
        <v>164</v>
      </c>
      <c r="C198" t="s">
        <v>128</v>
      </c>
      <c r="D198" t="s">
        <v>29</v>
      </c>
      <c r="E198" s="3">
        <v>2.1</v>
      </c>
      <c r="F198" s="3">
        <v>2.2050000000000001</v>
      </c>
      <c r="G198">
        <v>1.97</v>
      </c>
      <c r="H198" s="3">
        <v>4.1370000000000005</v>
      </c>
      <c r="I198">
        <v>117</v>
      </c>
      <c r="J198">
        <v>4</v>
      </c>
      <c r="K198">
        <v>38</v>
      </c>
      <c r="L198" s="13">
        <f>(Table2[[#This Row],[STARTING INVENTORY]]-Table2[[#This Row],[ENDING INVENTORY]])/(Table2[[#This Row],[STARTING INVENTORY]])</f>
        <v>0.67521367521367526</v>
      </c>
      <c r="M198">
        <f>Table2[[#This Row],[STARTING INVENTORY]]-Table2[[#This Row],[ENDING INVENTORY]]</f>
        <v>79</v>
      </c>
    </row>
    <row r="199" spans="1:13">
      <c r="A199" t="s">
        <v>6</v>
      </c>
      <c r="B199" t="s">
        <v>164</v>
      </c>
      <c r="C199" t="s">
        <v>134</v>
      </c>
      <c r="D199" t="s">
        <v>29</v>
      </c>
      <c r="E199" s="3">
        <v>2</v>
      </c>
      <c r="F199" s="3">
        <v>2.1</v>
      </c>
      <c r="G199">
        <v>2.0499999999999998</v>
      </c>
      <c r="H199" s="3">
        <v>4.0999999999999996</v>
      </c>
      <c r="I199">
        <v>81</v>
      </c>
      <c r="J199">
        <v>0</v>
      </c>
      <c r="K199">
        <v>69</v>
      </c>
      <c r="L199" s="13">
        <f>(Table2[[#This Row],[STARTING INVENTORY]]-Table2[[#This Row],[ENDING INVENTORY]])/(Table2[[#This Row],[STARTING INVENTORY]])</f>
        <v>0.14814814814814814</v>
      </c>
      <c r="M199">
        <f>Table2[[#This Row],[STARTING INVENTORY]]-Table2[[#This Row],[ENDING INVENTORY]]</f>
        <v>12</v>
      </c>
    </row>
    <row r="200" spans="1:13">
      <c r="A200" t="s">
        <v>6</v>
      </c>
      <c r="B200" t="s">
        <v>164</v>
      </c>
      <c r="C200" t="s">
        <v>140</v>
      </c>
      <c r="D200" t="s">
        <v>33</v>
      </c>
      <c r="E200" s="3">
        <v>4.5</v>
      </c>
      <c r="F200" s="3">
        <v>4.7250000000000005</v>
      </c>
      <c r="G200">
        <v>2.0499999999999998</v>
      </c>
      <c r="H200" s="3">
        <v>9.2249999999999996</v>
      </c>
      <c r="I200">
        <v>91</v>
      </c>
      <c r="J200">
        <v>2</v>
      </c>
      <c r="K200">
        <v>72</v>
      </c>
      <c r="L200" s="13">
        <f>(Table2[[#This Row],[STARTING INVENTORY]]-Table2[[#This Row],[ENDING INVENTORY]])/(Table2[[#This Row],[STARTING INVENTORY]])</f>
        <v>0.2087912087912088</v>
      </c>
      <c r="M200">
        <f>Table2[[#This Row],[STARTING INVENTORY]]-Table2[[#This Row],[ENDING INVENTORY]]</f>
        <v>19</v>
      </c>
    </row>
    <row r="201" spans="1:13">
      <c r="A201" t="s">
        <v>6</v>
      </c>
      <c r="B201" t="s">
        <v>164</v>
      </c>
      <c r="C201" t="s">
        <v>146</v>
      </c>
      <c r="D201" t="s">
        <v>33</v>
      </c>
      <c r="E201" s="3">
        <v>3.75</v>
      </c>
      <c r="F201" s="3">
        <v>3.9375</v>
      </c>
      <c r="G201">
        <v>2.06</v>
      </c>
      <c r="H201" s="3">
        <v>7.7250000000000005</v>
      </c>
      <c r="I201">
        <v>87</v>
      </c>
      <c r="J201">
        <v>2</v>
      </c>
      <c r="K201">
        <v>19</v>
      </c>
      <c r="L201" s="13">
        <f>(Table2[[#This Row],[STARTING INVENTORY]]-Table2[[#This Row],[ENDING INVENTORY]])/(Table2[[#This Row],[STARTING INVENTORY]])</f>
        <v>0.7816091954022989</v>
      </c>
      <c r="M201">
        <f>Table2[[#This Row],[STARTING INVENTORY]]-Table2[[#This Row],[ENDING INVENTORY]]</f>
        <v>68</v>
      </c>
    </row>
    <row r="202" spans="1:13">
      <c r="A202" t="s">
        <v>6</v>
      </c>
      <c r="B202" t="s">
        <v>165</v>
      </c>
      <c r="C202" t="s">
        <v>35</v>
      </c>
      <c r="D202" t="s">
        <v>33</v>
      </c>
      <c r="E202" s="3">
        <v>2</v>
      </c>
      <c r="F202" s="3">
        <v>2.1</v>
      </c>
      <c r="G202">
        <v>1.95</v>
      </c>
      <c r="H202" s="3">
        <v>3.9</v>
      </c>
      <c r="I202">
        <v>111</v>
      </c>
      <c r="J202">
        <v>3</v>
      </c>
      <c r="K202">
        <v>0</v>
      </c>
      <c r="L202" s="13">
        <f>(Table2[[#This Row],[STARTING INVENTORY]]-Table2[[#This Row],[ENDING INVENTORY]])/(Table2[[#This Row],[STARTING INVENTORY]])</f>
        <v>1</v>
      </c>
      <c r="M202">
        <f>Table2[[#This Row],[STARTING INVENTORY]]-Table2[[#This Row],[ENDING INVENTORY]]</f>
        <v>111</v>
      </c>
    </row>
    <row r="203" spans="1:13">
      <c r="A203" t="s">
        <v>6</v>
      </c>
      <c r="B203" t="s">
        <v>165</v>
      </c>
      <c r="C203" t="s">
        <v>41</v>
      </c>
      <c r="D203" t="s">
        <v>33</v>
      </c>
      <c r="E203" s="3">
        <v>1.95</v>
      </c>
      <c r="F203" s="3">
        <v>2.0474999999999999</v>
      </c>
      <c r="G203">
        <v>1.98</v>
      </c>
      <c r="H203" s="3">
        <v>3.8609999999999998</v>
      </c>
      <c r="I203">
        <v>71</v>
      </c>
      <c r="J203">
        <v>3</v>
      </c>
      <c r="K203">
        <v>62</v>
      </c>
      <c r="L203" s="13">
        <f>(Table2[[#This Row],[STARTING INVENTORY]]-Table2[[#This Row],[ENDING INVENTORY]])/(Table2[[#This Row],[STARTING INVENTORY]])</f>
        <v>0.12676056338028169</v>
      </c>
      <c r="M203">
        <f>Table2[[#This Row],[STARTING INVENTORY]]-Table2[[#This Row],[ENDING INVENTORY]]</f>
        <v>9</v>
      </c>
    </row>
    <row r="204" spans="1:13">
      <c r="A204" t="s">
        <v>6</v>
      </c>
      <c r="B204" t="s">
        <v>165</v>
      </c>
      <c r="C204" t="s">
        <v>47</v>
      </c>
      <c r="D204" t="s">
        <v>33</v>
      </c>
      <c r="E204" s="3">
        <v>1.9</v>
      </c>
      <c r="F204" s="3">
        <v>1.9949999999999999</v>
      </c>
      <c r="G204">
        <v>2.08</v>
      </c>
      <c r="H204" s="3">
        <v>3.952</v>
      </c>
      <c r="I204">
        <v>98</v>
      </c>
      <c r="J204">
        <v>1</v>
      </c>
      <c r="K204">
        <v>66</v>
      </c>
      <c r="L204" s="13">
        <f>(Table2[[#This Row],[STARTING INVENTORY]]-Table2[[#This Row],[ENDING INVENTORY]])/(Table2[[#This Row],[STARTING INVENTORY]])</f>
        <v>0.32653061224489793</v>
      </c>
      <c r="M204">
        <f>Table2[[#This Row],[STARTING INVENTORY]]-Table2[[#This Row],[ENDING INVENTORY]]</f>
        <v>32</v>
      </c>
    </row>
    <row r="205" spans="1:13">
      <c r="A205" t="s">
        <v>6</v>
      </c>
      <c r="B205" t="s">
        <v>165</v>
      </c>
      <c r="C205" t="s">
        <v>53</v>
      </c>
      <c r="D205" t="s">
        <v>33</v>
      </c>
      <c r="E205" s="3">
        <v>3.1</v>
      </c>
      <c r="F205" s="3">
        <v>3.2550000000000003</v>
      </c>
      <c r="G205">
        <v>1.98</v>
      </c>
      <c r="H205" s="3">
        <v>6.1379999999999999</v>
      </c>
      <c r="I205">
        <v>61</v>
      </c>
      <c r="J205">
        <v>2</v>
      </c>
      <c r="K205">
        <v>3</v>
      </c>
      <c r="L205" s="13">
        <f>(Table2[[#This Row],[STARTING INVENTORY]]-Table2[[#This Row],[ENDING INVENTORY]])/(Table2[[#This Row],[STARTING INVENTORY]])</f>
        <v>0.95081967213114749</v>
      </c>
      <c r="M205">
        <f>Table2[[#This Row],[STARTING INVENTORY]]-Table2[[#This Row],[ENDING INVENTORY]]</f>
        <v>58</v>
      </c>
    </row>
    <row r="206" spans="1:13">
      <c r="A206" t="s">
        <v>6</v>
      </c>
      <c r="B206" t="s">
        <v>165</v>
      </c>
      <c r="C206" t="s">
        <v>59</v>
      </c>
      <c r="D206" t="s">
        <v>33</v>
      </c>
      <c r="E206" s="3">
        <v>2</v>
      </c>
      <c r="F206" s="3">
        <v>2.1</v>
      </c>
      <c r="G206">
        <v>1.99</v>
      </c>
      <c r="H206" s="3">
        <v>3.98</v>
      </c>
      <c r="I206">
        <v>62</v>
      </c>
      <c r="J206">
        <v>2</v>
      </c>
      <c r="K206">
        <v>57</v>
      </c>
      <c r="L206" s="13">
        <f>(Table2[[#This Row],[STARTING INVENTORY]]-Table2[[#This Row],[ENDING INVENTORY]])/(Table2[[#This Row],[STARTING INVENTORY]])</f>
        <v>8.0645161290322578E-2</v>
      </c>
      <c r="M206">
        <f>Table2[[#This Row],[STARTING INVENTORY]]-Table2[[#This Row],[ENDING INVENTORY]]</f>
        <v>5</v>
      </c>
    </row>
    <row r="207" spans="1:13">
      <c r="A207" t="s">
        <v>6</v>
      </c>
      <c r="B207" t="s">
        <v>165</v>
      </c>
      <c r="C207" t="s">
        <v>65</v>
      </c>
      <c r="D207" t="s">
        <v>33</v>
      </c>
      <c r="E207" s="3">
        <v>1.7</v>
      </c>
      <c r="F207" s="3">
        <v>1.7849999999999999</v>
      </c>
      <c r="G207">
        <v>1.96</v>
      </c>
      <c r="H207" s="3">
        <v>3.3319999999999999</v>
      </c>
      <c r="I207">
        <v>172</v>
      </c>
      <c r="J207">
        <v>6</v>
      </c>
      <c r="K207">
        <v>152</v>
      </c>
      <c r="L207" s="13">
        <f>(Table2[[#This Row],[STARTING INVENTORY]]-Table2[[#This Row],[ENDING INVENTORY]])/(Table2[[#This Row],[STARTING INVENTORY]])</f>
        <v>0.11627906976744186</v>
      </c>
      <c r="M207">
        <f>Table2[[#This Row],[STARTING INVENTORY]]-Table2[[#This Row],[ENDING INVENTORY]]</f>
        <v>20</v>
      </c>
    </row>
    <row r="208" spans="1:13">
      <c r="A208" t="s">
        <v>6</v>
      </c>
      <c r="B208" t="s">
        <v>165</v>
      </c>
      <c r="C208" t="s">
        <v>71</v>
      </c>
      <c r="D208" t="s">
        <v>33</v>
      </c>
      <c r="E208" s="3">
        <v>1.5</v>
      </c>
      <c r="F208" s="3">
        <v>1.5750000000000002</v>
      </c>
      <c r="G208">
        <v>2.0099999999999998</v>
      </c>
      <c r="H208" s="3">
        <v>3.0149999999999997</v>
      </c>
      <c r="I208">
        <v>160</v>
      </c>
      <c r="J208">
        <v>2</v>
      </c>
      <c r="K208">
        <v>46</v>
      </c>
      <c r="L208" s="13">
        <f>(Table2[[#This Row],[STARTING INVENTORY]]-Table2[[#This Row],[ENDING INVENTORY]])/(Table2[[#This Row],[STARTING INVENTORY]])</f>
        <v>0.71250000000000002</v>
      </c>
      <c r="M208">
        <f>Table2[[#This Row],[STARTING INVENTORY]]-Table2[[#This Row],[ENDING INVENTORY]]</f>
        <v>114</v>
      </c>
    </row>
    <row r="209" spans="1:13">
      <c r="A209" t="s">
        <v>6</v>
      </c>
      <c r="B209" t="s">
        <v>165</v>
      </c>
      <c r="C209" t="s">
        <v>77</v>
      </c>
      <c r="D209" t="s">
        <v>33</v>
      </c>
      <c r="E209" s="3">
        <v>2.65</v>
      </c>
      <c r="F209" s="3">
        <v>2.7825000000000002</v>
      </c>
      <c r="G209">
        <v>2.04</v>
      </c>
      <c r="H209" s="3">
        <v>5.4059999999999997</v>
      </c>
      <c r="I209">
        <v>172</v>
      </c>
      <c r="J209">
        <v>1</v>
      </c>
      <c r="K209">
        <v>37</v>
      </c>
      <c r="L209" s="13">
        <f>(Table2[[#This Row],[STARTING INVENTORY]]-Table2[[#This Row],[ENDING INVENTORY]])/(Table2[[#This Row],[STARTING INVENTORY]])</f>
        <v>0.78488372093023251</v>
      </c>
      <c r="M209">
        <f>Table2[[#This Row],[STARTING INVENTORY]]-Table2[[#This Row],[ENDING INVENTORY]]</f>
        <v>135</v>
      </c>
    </row>
    <row r="210" spans="1:13">
      <c r="A210" t="s">
        <v>6</v>
      </c>
      <c r="B210" t="s">
        <v>165</v>
      </c>
      <c r="C210" t="s">
        <v>83</v>
      </c>
      <c r="D210" t="s">
        <v>33</v>
      </c>
      <c r="E210" s="3">
        <v>1.2</v>
      </c>
      <c r="F210" s="3">
        <v>1.26</v>
      </c>
      <c r="G210">
        <v>2.0099999999999998</v>
      </c>
      <c r="H210" s="3">
        <v>2.4119999999999995</v>
      </c>
      <c r="I210">
        <v>115</v>
      </c>
      <c r="J210">
        <v>1</v>
      </c>
      <c r="K210">
        <v>14</v>
      </c>
      <c r="L210" s="13">
        <f>(Table2[[#This Row],[STARTING INVENTORY]]-Table2[[#This Row],[ENDING INVENTORY]])/(Table2[[#This Row],[STARTING INVENTORY]])</f>
        <v>0.87826086956521743</v>
      </c>
      <c r="M210">
        <f>Table2[[#This Row],[STARTING INVENTORY]]-Table2[[#This Row],[ENDING INVENTORY]]</f>
        <v>101</v>
      </c>
    </row>
    <row r="211" spans="1:13">
      <c r="A211" t="s">
        <v>6</v>
      </c>
      <c r="B211" t="s">
        <v>165</v>
      </c>
      <c r="C211" t="s">
        <v>89</v>
      </c>
      <c r="D211" t="s">
        <v>33</v>
      </c>
      <c r="E211" s="3">
        <v>1.4</v>
      </c>
      <c r="F211" s="3">
        <v>1.47</v>
      </c>
      <c r="G211">
        <v>1.97</v>
      </c>
      <c r="H211" s="3">
        <v>2.758</v>
      </c>
      <c r="I211">
        <v>140</v>
      </c>
      <c r="J211">
        <v>2</v>
      </c>
      <c r="K211">
        <v>20</v>
      </c>
      <c r="L211" s="13">
        <f>(Table2[[#This Row],[STARTING INVENTORY]]-Table2[[#This Row],[ENDING INVENTORY]])/(Table2[[#This Row],[STARTING INVENTORY]])</f>
        <v>0.8571428571428571</v>
      </c>
      <c r="M211">
        <f>Table2[[#This Row],[STARTING INVENTORY]]-Table2[[#This Row],[ENDING INVENTORY]]</f>
        <v>120</v>
      </c>
    </row>
    <row r="212" spans="1:13">
      <c r="A212" t="s">
        <v>6</v>
      </c>
      <c r="B212" t="s">
        <v>165</v>
      </c>
      <c r="C212" t="s">
        <v>95</v>
      </c>
      <c r="D212" t="s">
        <v>33</v>
      </c>
      <c r="E212" s="3">
        <v>1.6</v>
      </c>
      <c r="F212" s="3">
        <v>1.6800000000000002</v>
      </c>
      <c r="G212">
        <v>1.98</v>
      </c>
      <c r="H212" s="3">
        <v>3.1680000000000001</v>
      </c>
      <c r="I212">
        <v>118</v>
      </c>
      <c r="J212">
        <v>5</v>
      </c>
      <c r="K212">
        <v>98</v>
      </c>
      <c r="L212" s="13">
        <f>(Table2[[#This Row],[STARTING INVENTORY]]-Table2[[#This Row],[ENDING INVENTORY]])/(Table2[[#This Row],[STARTING INVENTORY]])</f>
        <v>0.16949152542372881</v>
      </c>
      <c r="M212">
        <f>Table2[[#This Row],[STARTING INVENTORY]]-Table2[[#This Row],[ENDING INVENTORY]]</f>
        <v>20</v>
      </c>
    </row>
    <row r="213" spans="1:13">
      <c r="A213" t="s">
        <v>6</v>
      </c>
      <c r="B213" t="s">
        <v>165</v>
      </c>
      <c r="C213" t="s">
        <v>101</v>
      </c>
      <c r="D213" t="s">
        <v>33</v>
      </c>
      <c r="E213" s="3">
        <v>0.7</v>
      </c>
      <c r="F213" s="3">
        <v>0.73499999999999999</v>
      </c>
      <c r="G213">
        <v>2.0499999999999998</v>
      </c>
      <c r="H213" s="3">
        <v>1.4349999999999998</v>
      </c>
      <c r="I213">
        <v>172</v>
      </c>
      <c r="J213">
        <v>2</v>
      </c>
      <c r="K213">
        <v>56</v>
      </c>
      <c r="L213" s="13">
        <f>(Table2[[#This Row],[STARTING INVENTORY]]-Table2[[#This Row],[ENDING INVENTORY]])/(Table2[[#This Row],[STARTING INVENTORY]])</f>
        <v>0.67441860465116277</v>
      </c>
      <c r="M213">
        <f>Table2[[#This Row],[STARTING INVENTORY]]-Table2[[#This Row],[ENDING INVENTORY]]</f>
        <v>116</v>
      </c>
    </row>
    <row r="214" spans="1:13">
      <c r="A214" t="s">
        <v>6</v>
      </c>
      <c r="B214" t="s">
        <v>165</v>
      </c>
      <c r="C214" t="s">
        <v>107</v>
      </c>
      <c r="D214" t="s">
        <v>33</v>
      </c>
      <c r="E214" s="3">
        <v>0.55000000000000004</v>
      </c>
      <c r="F214" s="3">
        <v>0.57750000000000012</v>
      </c>
      <c r="G214">
        <v>2.0300000000000002</v>
      </c>
      <c r="H214" s="3">
        <v>1.1165000000000003</v>
      </c>
      <c r="I214">
        <v>61</v>
      </c>
      <c r="J214">
        <v>3</v>
      </c>
      <c r="K214">
        <v>52</v>
      </c>
      <c r="L214" s="13">
        <f>(Table2[[#This Row],[STARTING INVENTORY]]-Table2[[#This Row],[ENDING INVENTORY]])/(Table2[[#This Row],[STARTING INVENTORY]])</f>
        <v>0.14754098360655737</v>
      </c>
      <c r="M214">
        <f>Table2[[#This Row],[STARTING INVENTORY]]-Table2[[#This Row],[ENDING INVENTORY]]</f>
        <v>9</v>
      </c>
    </row>
    <row r="215" spans="1:13">
      <c r="A215" t="s">
        <v>6</v>
      </c>
      <c r="B215" t="s">
        <v>165</v>
      </c>
      <c r="C215" t="s">
        <v>113</v>
      </c>
      <c r="D215" t="s">
        <v>33</v>
      </c>
      <c r="E215" s="3">
        <v>1.4</v>
      </c>
      <c r="F215" s="3">
        <v>1.47</v>
      </c>
      <c r="G215">
        <v>2.09</v>
      </c>
      <c r="H215" s="3">
        <v>2.9259999999999997</v>
      </c>
      <c r="I215">
        <v>61</v>
      </c>
      <c r="J215">
        <v>4</v>
      </c>
      <c r="K215">
        <v>52</v>
      </c>
      <c r="L215" s="13">
        <f>(Table2[[#This Row],[STARTING INVENTORY]]-Table2[[#This Row],[ENDING INVENTORY]])/(Table2[[#This Row],[STARTING INVENTORY]])</f>
        <v>0.14754098360655737</v>
      </c>
      <c r="M215">
        <f>Table2[[#This Row],[STARTING INVENTORY]]-Table2[[#This Row],[ENDING INVENTORY]]</f>
        <v>9</v>
      </c>
    </row>
    <row r="216" spans="1:13">
      <c r="A216" t="s">
        <v>6</v>
      </c>
      <c r="B216" t="s">
        <v>165</v>
      </c>
      <c r="C216" t="s">
        <v>119</v>
      </c>
      <c r="D216" t="s">
        <v>33</v>
      </c>
      <c r="E216" s="3">
        <v>2</v>
      </c>
      <c r="F216" s="3">
        <v>2.1</v>
      </c>
      <c r="G216">
        <v>2.0700000000000003</v>
      </c>
      <c r="H216" s="3">
        <v>4.1400000000000006</v>
      </c>
      <c r="I216">
        <v>151</v>
      </c>
      <c r="J216">
        <v>2</v>
      </c>
      <c r="K216">
        <v>45</v>
      </c>
      <c r="L216" s="13">
        <f>(Table2[[#This Row],[STARTING INVENTORY]]-Table2[[#This Row],[ENDING INVENTORY]])/(Table2[[#This Row],[STARTING INVENTORY]])</f>
        <v>0.70198675496688745</v>
      </c>
      <c r="M216">
        <f>Table2[[#This Row],[STARTING INVENTORY]]-Table2[[#This Row],[ENDING INVENTORY]]</f>
        <v>106</v>
      </c>
    </row>
    <row r="217" spans="1:13">
      <c r="A217" t="s">
        <v>6</v>
      </c>
      <c r="B217" t="s">
        <v>165</v>
      </c>
      <c r="C217" t="s">
        <v>125</v>
      </c>
      <c r="D217" t="s">
        <v>33</v>
      </c>
      <c r="E217" s="3">
        <v>2.25</v>
      </c>
      <c r="F217" s="3">
        <v>2.3625000000000003</v>
      </c>
      <c r="G217">
        <v>1.96</v>
      </c>
      <c r="H217" s="3">
        <v>4.41</v>
      </c>
      <c r="I217">
        <v>113</v>
      </c>
      <c r="J217">
        <v>1</v>
      </c>
      <c r="K217">
        <v>13</v>
      </c>
      <c r="L217" s="13">
        <f>(Table2[[#This Row],[STARTING INVENTORY]]-Table2[[#This Row],[ENDING INVENTORY]])/(Table2[[#This Row],[STARTING INVENTORY]])</f>
        <v>0.88495575221238942</v>
      </c>
      <c r="M217">
        <f>Table2[[#This Row],[STARTING INVENTORY]]-Table2[[#This Row],[ENDING INVENTORY]]</f>
        <v>100</v>
      </c>
    </row>
    <row r="218" spans="1:13">
      <c r="A218" t="s">
        <v>6</v>
      </c>
      <c r="B218" t="s">
        <v>165</v>
      </c>
      <c r="C218" t="s">
        <v>131</v>
      </c>
      <c r="D218" t="s">
        <v>33</v>
      </c>
      <c r="E218" s="3">
        <v>3.4</v>
      </c>
      <c r="F218" s="3">
        <v>3.57</v>
      </c>
      <c r="G218">
        <v>2.0499999999999998</v>
      </c>
      <c r="H218" s="3">
        <v>6.9699999999999989</v>
      </c>
      <c r="I218">
        <v>146</v>
      </c>
      <c r="J218">
        <v>6</v>
      </c>
      <c r="K218">
        <v>38</v>
      </c>
      <c r="L218" s="13">
        <f>(Table2[[#This Row],[STARTING INVENTORY]]-Table2[[#This Row],[ENDING INVENTORY]])/(Table2[[#This Row],[STARTING INVENTORY]])</f>
        <v>0.73972602739726023</v>
      </c>
      <c r="M218">
        <f>Table2[[#This Row],[STARTING INVENTORY]]-Table2[[#This Row],[ENDING INVENTORY]]</f>
        <v>108</v>
      </c>
    </row>
    <row r="219" spans="1:13">
      <c r="A219" t="s">
        <v>6</v>
      </c>
      <c r="B219" t="s">
        <v>165</v>
      </c>
      <c r="C219" t="s">
        <v>137</v>
      </c>
      <c r="D219" t="s">
        <v>33</v>
      </c>
      <c r="E219" s="3">
        <v>3.1</v>
      </c>
      <c r="F219" s="3">
        <v>3.2550000000000003</v>
      </c>
      <c r="G219">
        <v>2.09</v>
      </c>
      <c r="H219" s="3">
        <v>6.4790000000000001</v>
      </c>
      <c r="I219">
        <v>160</v>
      </c>
      <c r="J219">
        <v>1</v>
      </c>
      <c r="K219">
        <v>136</v>
      </c>
      <c r="L219" s="13">
        <f>(Table2[[#This Row],[STARTING INVENTORY]]-Table2[[#This Row],[ENDING INVENTORY]])/(Table2[[#This Row],[STARTING INVENTORY]])</f>
        <v>0.15</v>
      </c>
      <c r="M219">
        <f>Table2[[#This Row],[STARTING INVENTORY]]-Table2[[#This Row],[ENDING INVENTORY]]</f>
        <v>24</v>
      </c>
    </row>
    <row r="220" spans="1:13">
      <c r="A220" t="s">
        <v>6</v>
      </c>
      <c r="B220" t="s">
        <v>165</v>
      </c>
      <c r="C220" t="s">
        <v>143</v>
      </c>
      <c r="D220" t="s">
        <v>33</v>
      </c>
      <c r="E220" s="3">
        <v>1.5</v>
      </c>
      <c r="F220" s="3">
        <v>1.5750000000000002</v>
      </c>
      <c r="G220">
        <v>1.97</v>
      </c>
      <c r="H220" s="3">
        <v>2.9550000000000001</v>
      </c>
      <c r="I220">
        <v>155</v>
      </c>
      <c r="J220">
        <v>2</v>
      </c>
      <c r="K220">
        <v>98</v>
      </c>
      <c r="L220" s="13">
        <f>(Table2[[#This Row],[STARTING INVENTORY]]-Table2[[#This Row],[ENDING INVENTORY]])/(Table2[[#This Row],[STARTING INVENTORY]])</f>
        <v>0.36774193548387096</v>
      </c>
      <c r="M220">
        <f>Table2[[#This Row],[STARTING INVENTORY]]-Table2[[#This Row],[ENDING INVENTORY]]</f>
        <v>57</v>
      </c>
    </row>
    <row r="221" spans="1:13">
      <c r="A221" t="s">
        <v>6</v>
      </c>
      <c r="B221" t="s">
        <v>165</v>
      </c>
      <c r="C221" t="s">
        <v>149</v>
      </c>
      <c r="D221" t="s">
        <v>33</v>
      </c>
      <c r="E221" s="3">
        <v>1.9</v>
      </c>
      <c r="F221" s="3">
        <v>1.9949999999999999</v>
      </c>
      <c r="G221">
        <v>2.0700000000000003</v>
      </c>
      <c r="H221" s="3">
        <v>3.9330000000000003</v>
      </c>
      <c r="I221">
        <v>156</v>
      </c>
      <c r="J221">
        <v>10</v>
      </c>
      <c r="K221">
        <v>76</v>
      </c>
      <c r="L221" s="13">
        <f>(Table2[[#This Row],[STARTING INVENTORY]]-Table2[[#This Row],[ENDING INVENTORY]])/(Table2[[#This Row],[STARTING INVENTORY]])</f>
        <v>0.51282051282051277</v>
      </c>
      <c r="M221">
        <f>Table2[[#This Row],[STARTING INVENTORY]]-Table2[[#This Row],[ENDING INVENTORY]]</f>
        <v>80</v>
      </c>
    </row>
    <row r="222" spans="1:13">
      <c r="A222" t="s">
        <v>6</v>
      </c>
      <c r="B222" t="s">
        <v>166</v>
      </c>
      <c r="C222" t="s">
        <v>34</v>
      </c>
      <c r="D222" t="s">
        <v>33</v>
      </c>
      <c r="E222" s="3">
        <v>1.3</v>
      </c>
      <c r="F222" s="3">
        <v>1.3650000000000002</v>
      </c>
      <c r="G222">
        <v>2.09</v>
      </c>
      <c r="H222" s="3">
        <v>2.7170000000000001</v>
      </c>
      <c r="I222">
        <v>40</v>
      </c>
      <c r="J222">
        <v>0</v>
      </c>
      <c r="K222">
        <v>14</v>
      </c>
      <c r="L222" s="13">
        <f>(Table2[[#This Row],[STARTING INVENTORY]]-Table2[[#This Row],[ENDING INVENTORY]])/(Table2[[#This Row],[STARTING INVENTORY]])</f>
        <v>0.65</v>
      </c>
      <c r="M222">
        <f>Table2[[#This Row],[STARTING INVENTORY]]-Table2[[#This Row],[ENDING INVENTORY]]</f>
        <v>26</v>
      </c>
    </row>
    <row r="223" spans="1:13">
      <c r="A223" t="s">
        <v>6</v>
      </c>
      <c r="B223" t="s">
        <v>166</v>
      </c>
      <c r="C223" t="s">
        <v>40</v>
      </c>
      <c r="D223" t="s">
        <v>33</v>
      </c>
      <c r="E223" s="3">
        <v>1.6</v>
      </c>
      <c r="F223" s="3">
        <v>1.6800000000000002</v>
      </c>
      <c r="G223">
        <v>2</v>
      </c>
      <c r="H223" s="3">
        <v>3.2</v>
      </c>
      <c r="I223">
        <v>58</v>
      </c>
      <c r="J223">
        <v>0</v>
      </c>
      <c r="K223">
        <v>17</v>
      </c>
      <c r="L223" s="13">
        <f>(Table2[[#This Row],[STARTING INVENTORY]]-Table2[[#This Row],[ENDING INVENTORY]])/(Table2[[#This Row],[STARTING INVENTORY]])</f>
        <v>0.7068965517241379</v>
      </c>
      <c r="M223">
        <f>Table2[[#This Row],[STARTING INVENTORY]]-Table2[[#This Row],[ENDING INVENTORY]]</f>
        <v>41</v>
      </c>
    </row>
    <row r="224" spans="1:13">
      <c r="A224" t="s">
        <v>6</v>
      </c>
      <c r="B224" t="s">
        <v>166</v>
      </c>
      <c r="C224" t="s">
        <v>46</v>
      </c>
      <c r="D224" t="s">
        <v>33</v>
      </c>
      <c r="E224" s="3">
        <v>1.35</v>
      </c>
      <c r="F224" s="3">
        <v>1.4175000000000002</v>
      </c>
      <c r="G224">
        <v>2.0300000000000002</v>
      </c>
      <c r="H224" s="3">
        <v>2.7405000000000004</v>
      </c>
      <c r="I224">
        <v>41</v>
      </c>
      <c r="J224">
        <v>1</v>
      </c>
      <c r="K224">
        <v>32</v>
      </c>
      <c r="L224" s="13">
        <f>(Table2[[#This Row],[STARTING INVENTORY]]-Table2[[#This Row],[ENDING INVENTORY]])/(Table2[[#This Row],[STARTING INVENTORY]])</f>
        <v>0.21951219512195122</v>
      </c>
      <c r="M224">
        <f>Table2[[#This Row],[STARTING INVENTORY]]-Table2[[#This Row],[ENDING INVENTORY]]</f>
        <v>9</v>
      </c>
    </row>
    <row r="225" spans="1:13">
      <c r="A225" t="s">
        <v>6</v>
      </c>
      <c r="B225" t="s">
        <v>166</v>
      </c>
      <c r="C225" t="s">
        <v>52</v>
      </c>
      <c r="D225" t="s">
        <v>33</v>
      </c>
      <c r="E225" s="3">
        <v>1.6</v>
      </c>
      <c r="F225" s="3">
        <v>1.6800000000000002</v>
      </c>
      <c r="G225">
        <v>2.04</v>
      </c>
      <c r="H225" s="3">
        <v>3.2640000000000002</v>
      </c>
      <c r="I225">
        <v>92</v>
      </c>
      <c r="J225">
        <v>7</v>
      </c>
      <c r="K225">
        <v>5</v>
      </c>
      <c r="L225" s="13">
        <f>(Table2[[#This Row],[STARTING INVENTORY]]-Table2[[#This Row],[ENDING INVENTORY]])/(Table2[[#This Row],[STARTING INVENTORY]])</f>
        <v>0.94565217391304346</v>
      </c>
      <c r="M225">
        <f>Table2[[#This Row],[STARTING INVENTORY]]-Table2[[#This Row],[ENDING INVENTORY]]</f>
        <v>87</v>
      </c>
    </row>
    <row r="226" spans="1:13">
      <c r="A226" t="s">
        <v>6</v>
      </c>
      <c r="B226" t="s">
        <v>166</v>
      </c>
      <c r="C226" t="s">
        <v>58</v>
      </c>
      <c r="D226" t="s">
        <v>33</v>
      </c>
      <c r="E226" s="3">
        <v>2.1</v>
      </c>
      <c r="F226" s="3">
        <v>2.2050000000000001</v>
      </c>
      <c r="G226">
        <v>1.97</v>
      </c>
      <c r="H226" s="3">
        <v>4.1370000000000005</v>
      </c>
      <c r="I226">
        <v>83</v>
      </c>
      <c r="J226">
        <v>0</v>
      </c>
      <c r="K226">
        <v>22</v>
      </c>
      <c r="L226" s="13">
        <f>(Table2[[#This Row],[STARTING INVENTORY]]-Table2[[#This Row],[ENDING INVENTORY]])/(Table2[[#This Row],[STARTING INVENTORY]])</f>
        <v>0.73493975903614461</v>
      </c>
      <c r="M226">
        <f>Table2[[#This Row],[STARTING INVENTORY]]-Table2[[#This Row],[ENDING INVENTORY]]</f>
        <v>61</v>
      </c>
    </row>
    <row r="227" spans="1:13">
      <c r="A227" t="s">
        <v>6</v>
      </c>
      <c r="B227" t="s">
        <v>166</v>
      </c>
      <c r="C227" t="s">
        <v>64</v>
      </c>
      <c r="D227" t="s">
        <v>33</v>
      </c>
      <c r="E227" s="3">
        <v>1.85</v>
      </c>
      <c r="F227" s="3">
        <v>1.9425000000000001</v>
      </c>
      <c r="G227">
        <v>2.08</v>
      </c>
      <c r="H227" s="3">
        <v>3.8480000000000003</v>
      </c>
      <c r="I227">
        <v>129</v>
      </c>
      <c r="J227">
        <v>0</v>
      </c>
      <c r="K227">
        <v>90</v>
      </c>
      <c r="L227" s="13">
        <f>(Table2[[#This Row],[STARTING INVENTORY]]-Table2[[#This Row],[ENDING INVENTORY]])/(Table2[[#This Row],[STARTING INVENTORY]])</f>
        <v>0.30232558139534882</v>
      </c>
      <c r="M227">
        <f>Table2[[#This Row],[STARTING INVENTORY]]-Table2[[#This Row],[ENDING INVENTORY]]</f>
        <v>39</v>
      </c>
    </row>
    <row r="228" spans="1:13">
      <c r="A228" t="s">
        <v>6</v>
      </c>
      <c r="B228" t="s">
        <v>166</v>
      </c>
      <c r="C228" t="s">
        <v>70</v>
      </c>
      <c r="D228" t="s">
        <v>33</v>
      </c>
      <c r="E228" s="3">
        <v>1.55</v>
      </c>
      <c r="F228" s="3">
        <v>1.6275000000000002</v>
      </c>
      <c r="G228">
        <v>2.08</v>
      </c>
      <c r="H228" s="3">
        <v>3.2240000000000002</v>
      </c>
      <c r="I228">
        <v>71</v>
      </c>
      <c r="J228">
        <v>0</v>
      </c>
      <c r="K228">
        <v>45</v>
      </c>
      <c r="L228" s="13">
        <f>(Table2[[#This Row],[STARTING INVENTORY]]-Table2[[#This Row],[ENDING INVENTORY]])/(Table2[[#This Row],[STARTING INVENTORY]])</f>
        <v>0.36619718309859156</v>
      </c>
      <c r="M228">
        <f>Table2[[#This Row],[STARTING INVENTORY]]-Table2[[#This Row],[ENDING INVENTORY]]</f>
        <v>26</v>
      </c>
    </row>
    <row r="229" spans="1:13">
      <c r="A229" t="s">
        <v>6</v>
      </c>
      <c r="B229" t="s">
        <v>166</v>
      </c>
      <c r="C229" t="s">
        <v>76</v>
      </c>
      <c r="D229" t="s">
        <v>33</v>
      </c>
      <c r="E229" s="3">
        <v>1.55</v>
      </c>
      <c r="F229" s="3">
        <v>1.6275000000000002</v>
      </c>
      <c r="G229">
        <v>2.1</v>
      </c>
      <c r="H229" s="3">
        <v>3.2550000000000003</v>
      </c>
      <c r="I229">
        <v>109</v>
      </c>
      <c r="J229">
        <v>0</v>
      </c>
      <c r="K229">
        <v>37</v>
      </c>
      <c r="L229" s="13">
        <f>(Table2[[#This Row],[STARTING INVENTORY]]-Table2[[#This Row],[ENDING INVENTORY]])/(Table2[[#This Row],[STARTING INVENTORY]])</f>
        <v>0.66055045871559637</v>
      </c>
      <c r="M229">
        <f>Table2[[#This Row],[STARTING INVENTORY]]-Table2[[#This Row],[ENDING INVENTORY]]</f>
        <v>72</v>
      </c>
    </row>
    <row r="230" spans="1:13">
      <c r="A230" t="s">
        <v>6</v>
      </c>
      <c r="B230" t="s">
        <v>166</v>
      </c>
      <c r="C230" t="s">
        <v>82</v>
      </c>
      <c r="D230" t="s">
        <v>33</v>
      </c>
      <c r="E230" s="3">
        <v>1.75</v>
      </c>
      <c r="F230" s="3">
        <v>1.8375000000000001</v>
      </c>
      <c r="G230">
        <v>1.98</v>
      </c>
      <c r="H230" s="3">
        <v>3.4649999999999999</v>
      </c>
      <c r="I230">
        <v>71</v>
      </c>
      <c r="J230">
        <v>0</v>
      </c>
      <c r="K230">
        <v>13</v>
      </c>
      <c r="L230" s="13">
        <f>(Table2[[#This Row],[STARTING INVENTORY]]-Table2[[#This Row],[ENDING INVENTORY]])/(Table2[[#This Row],[STARTING INVENTORY]])</f>
        <v>0.81690140845070425</v>
      </c>
      <c r="M230">
        <f>Table2[[#This Row],[STARTING INVENTORY]]-Table2[[#This Row],[ENDING INVENTORY]]</f>
        <v>58</v>
      </c>
    </row>
    <row r="231" spans="1:13">
      <c r="A231" t="s">
        <v>6</v>
      </c>
      <c r="B231" t="s">
        <v>166</v>
      </c>
      <c r="C231" t="s">
        <v>88</v>
      </c>
      <c r="D231" t="s">
        <v>33</v>
      </c>
      <c r="E231" s="3">
        <v>2.2000000000000002</v>
      </c>
      <c r="F231" s="3">
        <v>2.3100000000000005</v>
      </c>
      <c r="G231">
        <v>2.0499999999999998</v>
      </c>
      <c r="H231" s="3">
        <v>4.51</v>
      </c>
      <c r="I231">
        <v>107</v>
      </c>
      <c r="J231">
        <v>2</v>
      </c>
      <c r="K231">
        <v>99</v>
      </c>
      <c r="L231" s="13">
        <f>(Table2[[#This Row],[STARTING INVENTORY]]-Table2[[#This Row],[ENDING INVENTORY]])/(Table2[[#This Row],[STARTING INVENTORY]])</f>
        <v>7.476635514018691E-2</v>
      </c>
      <c r="M231">
        <f>Table2[[#This Row],[STARTING INVENTORY]]-Table2[[#This Row],[ENDING INVENTORY]]</f>
        <v>8</v>
      </c>
    </row>
    <row r="232" spans="1:13">
      <c r="A232" t="s">
        <v>6</v>
      </c>
      <c r="B232" t="s">
        <v>166</v>
      </c>
      <c r="C232" t="s">
        <v>94</v>
      </c>
      <c r="D232" t="s">
        <v>33</v>
      </c>
      <c r="E232" s="3">
        <v>2.75</v>
      </c>
      <c r="F232" s="3">
        <v>2.8875000000000002</v>
      </c>
      <c r="G232">
        <v>2.0099999999999998</v>
      </c>
      <c r="H232" s="3">
        <v>5.5274999999999999</v>
      </c>
      <c r="I232">
        <v>94</v>
      </c>
      <c r="J232">
        <v>2</v>
      </c>
      <c r="K232">
        <v>71</v>
      </c>
      <c r="L232" s="13">
        <f>(Table2[[#This Row],[STARTING INVENTORY]]-Table2[[#This Row],[ENDING INVENTORY]])/(Table2[[#This Row],[STARTING INVENTORY]])</f>
        <v>0.24468085106382978</v>
      </c>
      <c r="M232">
        <f>Table2[[#This Row],[STARTING INVENTORY]]-Table2[[#This Row],[ENDING INVENTORY]]</f>
        <v>23</v>
      </c>
    </row>
    <row r="233" spans="1:13">
      <c r="A233" t="s">
        <v>6</v>
      </c>
      <c r="B233" t="s">
        <v>166</v>
      </c>
      <c r="C233" t="s">
        <v>100</v>
      </c>
      <c r="D233" t="s">
        <v>33</v>
      </c>
      <c r="E233" s="3">
        <v>2.4</v>
      </c>
      <c r="F233" s="3">
        <v>2.52</v>
      </c>
      <c r="G233">
        <v>1.99</v>
      </c>
      <c r="H233" s="3">
        <v>4.7759999999999998</v>
      </c>
      <c r="I233">
        <v>114</v>
      </c>
      <c r="J233">
        <v>1</v>
      </c>
      <c r="K233">
        <v>61</v>
      </c>
      <c r="L233" s="13">
        <f>(Table2[[#This Row],[STARTING INVENTORY]]-Table2[[#This Row],[ENDING INVENTORY]])/(Table2[[#This Row],[STARTING INVENTORY]])</f>
        <v>0.46491228070175439</v>
      </c>
      <c r="M233">
        <f>Table2[[#This Row],[STARTING INVENTORY]]-Table2[[#This Row],[ENDING INVENTORY]]</f>
        <v>53</v>
      </c>
    </row>
    <row r="234" spans="1:13">
      <c r="A234" t="s">
        <v>6</v>
      </c>
      <c r="B234" t="s">
        <v>166</v>
      </c>
      <c r="C234" t="s">
        <v>106</v>
      </c>
      <c r="D234" t="s">
        <v>33</v>
      </c>
      <c r="E234" s="3">
        <v>2.7</v>
      </c>
      <c r="F234" s="3">
        <v>2.8350000000000004</v>
      </c>
      <c r="G234">
        <v>2.06</v>
      </c>
      <c r="H234" s="3">
        <v>5.5620000000000003</v>
      </c>
      <c r="I234">
        <v>95</v>
      </c>
      <c r="J234">
        <v>1</v>
      </c>
      <c r="K234">
        <v>34</v>
      </c>
      <c r="L234" s="13">
        <f>(Table2[[#This Row],[STARTING INVENTORY]]-Table2[[#This Row],[ENDING INVENTORY]])/(Table2[[#This Row],[STARTING INVENTORY]])</f>
        <v>0.64210526315789473</v>
      </c>
      <c r="M234">
        <f>Table2[[#This Row],[STARTING INVENTORY]]-Table2[[#This Row],[ENDING INVENTORY]]</f>
        <v>61</v>
      </c>
    </row>
    <row r="235" spans="1:13">
      <c r="A235" t="s">
        <v>6</v>
      </c>
      <c r="B235" t="s">
        <v>166</v>
      </c>
      <c r="C235" t="s">
        <v>112</v>
      </c>
      <c r="D235" t="s">
        <v>33</v>
      </c>
      <c r="E235" s="3">
        <v>2.6</v>
      </c>
      <c r="F235" s="3">
        <v>2.7300000000000004</v>
      </c>
      <c r="G235">
        <v>2.0099999999999998</v>
      </c>
      <c r="H235" s="3">
        <v>5.226</v>
      </c>
      <c r="I235">
        <v>56</v>
      </c>
      <c r="J235">
        <v>0</v>
      </c>
      <c r="K235">
        <v>18</v>
      </c>
      <c r="L235" s="13">
        <f>(Table2[[#This Row],[STARTING INVENTORY]]-Table2[[#This Row],[ENDING INVENTORY]])/(Table2[[#This Row],[STARTING INVENTORY]])</f>
        <v>0.6785714285714286</v>
      </c>
      <c r="M235">
        <f>Table2[[#This Row],[STARTING INVENTORY]]-Table2[[#This Row],[ENDING INVENTORY]]</f>
        <v>38</v>
      </c>
    </row>
    <row r="236" spans="1:13">
      <c r="A236" t="s">
        <v>6</v>
      </c>
      <c r="B236" t="s">
        <v>166</v>
      </c>
      <c r="C236" t="s">
        <v>118</v>
      </c>
      <c r="D236" t="s">
        <v>33</v>
      </c>
      <c r="E236" s="3">
        <v>4</v>
      </c>
      <c r="F236" s="3">
        <v>4.2</v>
      </c>
      <c r="G236">
        <v>2.0700000000000003</v>
      </c>
      <c r="H236" s="3">
        <v>8.2800000000000011</v>
      </c>
      <c r="I236">
        <v>77</v>
      </c>
      <c r="J236">
        <v>1</v>
      </c>
      <c r="K236">
        <v>29</v>
      </c>
      <c r="L236" s="13">
        <f>(Table2[[#This Row],[STARTING INVENTORY]]-Table2[[#This Row],[ENDING INVENTORY]])/(Table2[[#This Row],[STARTING INVENTORY]])</f>
        <v>0.62337662337662336</v>
      </c>
      <c r="M236">
        <f>Table2[[#This Row],[STARTING INVENTORY]]-Table2[[#This Row],[ENDING INVENTORY]]</f>
        <v>48</v>
      </c>
    </row>
    <row r="237" spans="1:13">
      <c r="A237" t="s">
        <v>6</v>
      </c>
      <c r="B237" t="s">
        <v>166</v>
      </c>
      <c r="C237" t="s">
        <v>124</v>
      </c>
      <c r="D237" t="s">
        <v>33</v>
      </c>
      <c r="E237" s="3">
        <v>4.25</v>
      </c>
      <c r="F237" s="3">
        <v>4.4625000000000004</v>
      </c>
      <c r="G237">
        <v>2.02</v>
      </c>
      <c r="H237" s="3">
        <v>8.5850000000000009</v>
      </c>
      <c r="I237">
        <v>63</v>
      </c>
      <c r="J237">
        <v>2</v>
      </c>
      <c r="K237">
        <v>13</v>
      </c>
      <c r="L237" s="13">
        <f>(Table2[[#This Row],[STARTING INVENTORY]]-Table2[[#This Row],[ENDING INVENTORY]])/(Table2[[#This Row],[STARTING INVENTORY]])</f>
        <v>0.79365079365079361</v>
      </c>
      <c r="M237">
        <f>Table2[[#This Row],[STARTING INVENTORY]]-Table2[[#This Row],[ENDING INVENTORY]]</f>
        <v>50</v>
      </c>
    </row>
    <row r="238" spans="1:13">
      <c r="A238" t="s">
        <v>6</v>
      </c>
      <c r="B238" t="s">
        <v>166</v>
      </c>
      <c r="C238" t="s">
        <v>130</v>
      </c>
      <c r="D238" t="s">
        <v>33</v>
      </c>
      <c r="E238" s="3">
        <v>5</v>
      </c>
      <c r="F238" s="3">
        <v>5.25</v>
      </c>
      <c r="G238">
        <v>2.08</v>
      </c>
      <c r="H238" s="3">
        <v>10.4</v>
      </c>
      <c r="I238">
        <v>108</v>
      </c>
      <c r="J238">
        <v>4</v>
      </c>
      <c r="K238">
        <v>83</v>
      </c>
      <c r="L238" s="13">
        <f>(Table2[[#This Row],[STARTING INVENTORY]]-Table2[[#This Row],[ENDING INVENTORY]])/(Table2[[#This Row],[STARTING INVENTORY]])</f>
        <v>0.23148148148148148</v>
      </c>
      <c r="M238">
        <f>Table2[[#This Row],[STARTING INVENTORY]]-Table2[[#This Row],[ENDING INVENTORY]]</f>
        <v>25</v>
      </c>
    </row>
    <row r="239" spans="1:13">
      <c r="A239" t="s">
        <v>6</v>
      </c>
      <c r="B239" t="s">
        <v>166</v>
      </c>
      <c r="C239" t="s">
        <v>136</v>
      </c>
      <c r="D239" t="s">
        <v>33</v>
      </c>
      <c r="E239" s="3">
        <v>3</v>
      </c>
      <c r="F239" s="3">
        <v>3.1500000000000004</v>
      </c>
      <c r="G239">
        <v>1.96</v>
      </c>
      <c r="H239" s="3">
        <v>5.88</v>
      </c>
      <c r="I239">
        <v>137</v>
      </c>
      <c r="J239">
        <v>0</v>
      </c>
      <c r="K239">
        <v>112</v>
      </c>
      <c r="L239" s="13">
        <f>(Table2[[#This Row],[STARTING INVENTORY]]-Table2[[#This Row],[ENDING INVENTORY]])/(Table2[[#This Row],[STARTING INVENTORY]])</f>
        <v>0.18248175182481752</v>
      </c>
      <c r="M239">
        <f>Table2[[#This Row],[STARTING INVENTORY]]-Table2[[#This Row],[ENDING INVENTORY]]</f>
        <v>25</v>
      </c>
    </row>
    <row r="240" spans="1:13">
      <c r="A240" t="s">
        <v>6</v>
      </c>
      <c r="B240" t="s">
        <v>166</v>
      </c>
      <c r="C240" t="s">
        <v>142</v>
      </c>
      <c r="D240" t="s">
        <v>33</v>
      </c>
      <c r="E240" s="3">
        <v>2.4</v>
      </c>
      <c r="F240" s="3">
        <v>2.52</v>
      </c>
      <c r="G240">
        <v>1.98</v>
      </c>
      <c r="H240" s="3">
        <v>4.7519999999999998</v>
      </c>
      <c r="I240">
        <v>109</v>
      </c>
      <c r="J240">
        <v>2</v>
      </c>
      <c r="K240">
        <v>24</v>
      </c>
      <c r="L240" s="13">
        <f>(Table2[[#This Row],[STARTING INVENTORY]]-Table2[[#This Row],[ENDING INVENTORY]])/(Table2[[#This Row],[STARTING INVENTORY]])</f>
        <v>0.77981651376146788</v>
      </c>
      <c r="M240">
        <f>Table2[[#This Row],[STARTING INVENTORY]]-Table2[[#This Row],[ENDING INVENTORY]]</f>
        <v>85</v>
      </c>
    </row>
    <row r="241" spans="1:13">
      <c r="A241" t="s">
        <v>6</v>
      </c>
      <c r="B241" t="s">
        <v>166</v>
      </c>
      <c r="C241" t="s">
        <v>148</v>
      </c>
      <c r="D241" t="s">
        <v>33</v>
      </c>
      <c r="E241" s="3">
        <v>3.25</v>
      </c>
      <c r="F241" s="3">
        <v>3.4125000000000001</v>
      </c>
      <c r="G241">
        <v>2.08</v>
      </c>
      <c r="H241" s="3">
        <v>6.76</v>
      </c>
      <c r="I241">
        <v>125</v>
      </c>
      <c r="J241">
        <v>1</v>
      </c>
      <c r="K241">
        <v>39</v>
      </c>
      <c r="L241" s="13">
        <f>(Table2[[#This Row],[STARTING INVENTORY]]-Table2[[#This Row],[ENDING INVENTORY]])/(Table2[[#This Row],[STARTING INVENTORY]])</f>
        <v>0.68799999999999994</v>
      </c>
      <c r="M241">
        <f>Table2[[#This Row],[STARTING INVENTORY]]-Table2[[#This Row],[ENDING INVENTORY]]</f>
        <v>86</v>
      </c>
    </row>
    <row r="242" spans="1:13">
      <c r="A242" t="s">
        <v>7</v>
      </c>
      <c r="B242" t="s">
        <v>161</v>
      </c>
      <c r="C242" t="s">
        <v>28</v>
      </c>
      <c r="D242" t="s">
        <v>29</v>
      </c>
      <c r="E242" s="3">
        <v>0.35</v>
      </c>
      <c r="F242" s="3">
        <v>0.36399999999999999</v>
      </c>
      <c r="G242">
        <v>1.95</v>
      </c>
      <c r="H242" s="3">
        <v>0.6825</v>
      </c>
      <c r="I242">
        <v>188</v>
      </c>
      <c r="J242">
        <v>6</v>
      </c>
      <c r="K242">
        <v>87</v>
      </c>
      <c r="L242" s="13">
        <f>(Table2[[#This Row],[STARTING INVENTORY]]-Table2[[#This Row],[ENDING INVENTORY]])/(Table2[[#This Row],[STARTING INVENTORY]])</f>
        <v>0.53723404255319152</v>
      </c>
      <c r="M242">
        <f>Table2[[#This Row],[STARTING INVENTORY]]-Table2[[#This Row],[ENDING INVENTORY]]</f>
        <v>101</v>
      </c>
    </row>
    <row r="243" spans="1:13">
      <c r="A243" t="s">
        <v>7</v>
      </c>
      <c r="B243" t="s">
        <v>161</v>
      </c>
      <c r="C243" t="s">
        <v>36</v>
      </c>
      <c r="D243" t="s">
        <v>29</v>
      </c>
      <c r="E243" s="3">
        <v>0.85</v>
      </c>
      <c r="F243" s="3">
        <v>0.88400000000000001</v>
      </c>
      <c r="G243">
        <v>2.06</v>
      </c>
      <c r="H243" s="3">
        <v>1.7509999999999999</v>
      </c>
      <c r="I243">
        <v>193</v>
      </c>
      <c r="J243">
        <v>4</v>
      </c>
      <c r="K243">
        <v>13</v>
      </c>
      <c r="L243" s="13">
        <f>(Table2[[#This Row],[STARTING INVENTORY]]-Table2[[#This Row],[ENDING INVENTORY]])/(Table2[[#This Row],[STARTING INVENTORY]])</f>
        <v>0.93264248704663211</v>
      </c>
      <c r="M243">
        <f>Table2[[#This Row],[STARTING INVENTORY]]-Table2[[#This Row],[ENDING INVENTORY]]</f>
        <v>180</v>
      </c>
    </row>
    <row r="244" spans="1:13">
      <c r="A244" t="s">
        <v>7</v>
      </c>
      <c r="B244" t="s">
        <v>161</v>
      </c>
      <c r="C244" t="s">
        <v>42</v>
      </c>
      <c r="D244" t="s">
        <v>29</v>
      </c>
      <c r="E244" s="3">
        <v>0.7</v>
      </c>
      <c r="F244" s="3">
        <v>0.72799999999999998</v>
      </c>
      <c r="G244">
        <v>2.1</v>
      </c>
      <c r="H244" s="3">
        <v>1.47</v>
      </c>
      <c r="I244">
        <v>146</v>
      </c>
      <c r="J244">
        <v>2</v>
      </c>
      <c r="K244">
        <v>101</v>
      </c>
      <c r="L244" s="13">
        <f>(Table2[[#This Row],[STARTING INVENTORY]]-Table2[[#This Row],[ENDING INVENTORY]])/(Table2[[#This Row],[STARTING INVENTORY]])</f>
        <v>0.30821917808219179</v>
      </c>
      <c r="M244">
        <f>Table2[[#This Row],[STARTING INVENTORY]]-Table2[[#This Row],[ENDING INVENTORY]]</f>
        <v>45</v>
      </c>
    </row>
    <row r="245" spans="1:13">
      <c r="A245" t="s">
        <v>7</v>
      </c>
      <c r="B245" t="s">
        <v>161</v>
      </c>
      <c r="C245" t="s">
        <v>48</v>
      </c>
      <c r="D245" t="s">
        <v>33</v>
      </c>
      <c r="E245" s="3">
        <v>0.35</v>
      </c>
      <c r="F245" s="3">
        <v>0.36399999999999999</v>
      </c>
      <c r="G245">
        <v>2.04</v>
      </c>
      <c r="H245" s="3">
        <v>0.71399999999999997</v>
      </c>
      <c r="I245">
        <v>173</v>
      </c>
      <c r="J245">
        <v>1</v>
      </c>
      <c r="K245">
        <v>149</v>
      </c>
      <c r="L245" s="13">
        <f>(Table2[[#This Row],[STARTING INVENTORY]]-Table2[[#This Row],[ENDING INVENTORY]])/(Table2[[#This Row],[STARTING INVENTORY]])</f>
        <v>0.13872832369942195</v>
      </c>
      <c r="M245">
        <f>Table2[[#This Row],[STARTING INVENTORY]]-Table2[[#This Row],[ENDING INVENTORY]]</f>
        <v>24</v>
      </c>
    </row>
    <row r="246" spans="1:13">
      <c r="A246" t="s">
        <v>7</v>
      </c>
      <c r="B246" t="s">
        <v>161</v>
      </c>
      <c r="C246" t="s">
        <v>54</v>
      </c>
      <c r="D246" t="s">
        <v>33</v>
      </c>
      <c r="E246" s="3">
        <v>0.2</v>
      </c>
      <c r="F246" s="3">
        <v>0.20800000000000002</v>
      </c>
      <c r="G246">
        <v>2.1</v>
      </c>
      <c r="H246" s="3">
        <v>0.42000000000000004</v>
      </c>
      <c r="I246">
        <v>119</v>
      </c>
      <c r="J246">
        <v>7</v>
      </c>
      <c r="K246">
        <v>47</v>
      </c>
      <c r="L246" s="13">
        <f>(Table2[[#This Row],[STARTING INVENTORY]]-Table2[[#This Row],[ENDING INVENTORY]])/(Table2[[#This Row],[STARTING INVENTORY]])</f>
        <v>0.60504201680672265</v>
      </c>
      <c r="M246">
        <f>Table2[[#This Row],[STARTING INVENTORY]]-Table2[[#This Row],[ENDING INVENTORY]]</f>
        <v>72</v>
      </c>
    </row>
    <row r="247" spans="1:13">
      <c r="A247" t="s">
        <v>7</v>
      </c>
      <c r="B247" t="s">
        <v>161</v>
      </c>
      <c r="C247" t="s">
        <v>60</v>
      </c>
      <c r="D247" t="s">
        <v>33</v>
      </c>
      <c r="E247" s="3">
        <v>0.75</v>
      </c>
      <c r="F247" s="3">
        <v>0.78</v>
      </c>
      <c r="G247">
        <v>1.98</v>
      </c>
      <c r="H247" s="3">
        <v>1.4849999999999999</v>
      </c>
      <c r="I247">
        <v>142</v>
      </c>
      <c r="J247">
        <v>0</v>
      </c>
      <c r="K247">
        <v>82</v>
      </c>
      <c r="L247" s="13">
        <f>(Table2[[#This Row],[STARTING INVENTORY]]-Table2[[#This Row],[ENDING INVENTORY]])/(Table2[[#This Row],[STARTING INVENTORY]])</f>
        <v>0.42253521126760563</v>
      </c>
      <c r="M247">
        <f>Table2[[#This Row],[STARTING INVENTORY]]-Table2[[#This Row],[ENDING INVENTORY]]</f>
        <v>60</v>
      </c>
    </row>
    <row r="248" spans="1:13">
      <c r="A248" t="s">
        <v>7</v>
      </c>
      <c r="B248" t="s">
        <v>161</v>
      </c>
      <c r="C248" t="s">
        <v>66</v>
      </c>
      <c r="D248" t="s">
        <v>29</v>
      </c>
      <c r="E248" s="3">
        <v>0.6</v>
      </c>
      <c r="F248" s="3">
        <v>0.624</v>
      </c>
      <c r="G248">
        <v>2.08</v>
      </c>
      <c r="H248" s="3">
        <v>1.248</v>
      </c>
      <c r="I248">
        <v>52</v>
      </c>
      <c r="J248">
        <v>0</v>
      </c>
      <c r="K248">
        <v>45</v>
      </c>
      <c r="L248" s="13">
        <f>(Table2[[#This Row],[STARTING INVENTORY]]-Table2[[#This Row],[ENDING INVENTORY]])/(Table2[[#This Row],[STARTING INVENTORY]])</f>
        <v>0.13461538461538461</v>
      </c>
      <c r="M248">
        <f>Table2[[#This Row],[STARTING INVENTORY]]-Table2[[#This Row],[ENDING INVENTORY]]</f>
        <v>7</v>
      </c>
    </row>
    <row r="249" spans="1:13">
      <c r="A249" t="s">
        <v>7</v>
      </c>
      <c r="B249" t="s">
        <v>161</v>
      </c>
      <c r="C249" t="s">
        <v>72</v>
      </c>
      <c r="D249" t="s">
        <v>29</v>
      </c>
      <c r="E249" s="3">
        <v>0.45</v>
      </c>
      <c r="F249" s="3">
        <v>0.46800000000000003</v>
      </c>
      <c r="G249">
        <v>2.09</v>
      </c>
      <c r="H249" s="3">
        <v>0.9405</v>
      </c>
      <c r="I249">
        <v>197</v>
      </c>
      <c r="J249">
        <v>1</v>
      </c>
      <c r="K249">
        <v>178</v>
      </c>
      <c r="L249" s="13">
        <f>(Table2[[#This Row],[STARTING INVENTORY]]-Table2[[#This Row],[ENDING INVENTORY]])/(Table2[[#This Row],[STARTING INVENTORY]])</f>
        <v>9.6446700507614211E-2</v>
      </c>
      <c r="M249">
        <f>Table2[[#This Row],[STARTING INVENTORY]]-Table2[[#This Row],[ENDING INVENTORY]]</f>
        <v>19</v>
      </c>
    </row>
    <row r="250" spans="1:13">
      <c r="A250" t="s">
        <v>7</v>
      </c>
      <c r="B250" t="s">
        <v>161</v>
      </c>
      <c r="C250" t="s">
        <v>78</v>
      </c>
      <c r="D250" t="s">
        <v>29</v>
      </c>
      <c r="E250" s="3">
        <v>0.4</v>
      </c>
      <c r="F250" s="3">
        <v>0.41600000000000004</v>
      </c>
      <c r="G250">
        <v>2.08</v>
      </c>
      <c r="H250" s="3">
        <v>0.83200000000000007</v>
      </c>
      <c r="I250">
        <v>196</v>
      </c>
      <c r="J250">
        <v>0</v>
      </c>
      <c r="K250">
        <v>130</v>
      </c>
      <c r="L250" s="13">
        <f>(Table2[[#This Row],[STARTING INVENTORY]]-Table2[[#This Row],[ENDING INVENTORY]])/(Table2[[#This Row],[STARTING INVENTORY]])</f>
        <v>0.33673469387755101</v>
      </c>
      <c r="M250">
        <f>Table2[[#This Row],[STARTING INVENTORY]]-Table2[[#This Row],[ENDING INVENTORY]]</f>
        <v>66</v>
      </c>
    </row>
    <row r="251" spans="1:13">
      <c r="A251" t="s">
        <v>7</v>
      </c>
      <c r="B251" t="s">
        <v>161</v>
      </c>
      <c r="C251" t="s">
        <v>84</v>
      </c>
      <c r="D251" t="s">
        <v>29</v>
      </c>
      <c r="E251" s="3">
        <v>0.35</v>
      </c>
      <c r="F251" s="3">
        <v>0.36399999999999999</v>
      </c>
      <c r="G251">
        <v>2.0099999999999998</v>
      </c>
      <c r="H251" s="3">
        <v>0.7034999999999999</v>
      </c>
      <c r="I251">
        <v>139</v>
      </c>
      <c r="J251">
        <v>8</v>
      </c>
      <c r="K251">
        <v>18</v>
      </c>
      <c r="L251" s="13">
        <f>(Table2[[#This Row],[STARTING INVENTORY]]-Table2[[#This Row],[ENDING INVENTORY]])/(Table2[[#This Row],[STARTING INVENTORY]])</f>
        <v>0.87050359712230219</v>
      </c>
      <c r="M251">
        <f>Table2[[#This Row],[STARTING INVENTORY]]-Table2[[#This Row],[ENDING INVENTORY]]</f>
        <v>121</v>
      </c>
    </row>
    <row r="252" spans="1:13">
      <c r="A252" t="s">
        <v>7</v>
      </c>
      <c r="B252" t="s">
        <v>161</v>
      </c>
      <c r="C252" t="s">
        <v>90</v>
      </c>
      <c r="D252" t="s">
        <v>29</v>
      </c>
      <c r="E252" s="3">
        <v>0.9</v>
      </c>
      <c r="F252" s="3">
        <v>0.93600000000000005</v>
      </c>
      <c r="G252">
        <v>2.09</v>
      </c>
      <c r="H252" s="3">
        <v>1.881</v>
      </c>
      <c r="I252">
        <v>196</v>
      </c>
      <c r="J252">
        <v>5</v>
      </c>
      <c r="K252">
        <v>27</v>
      </c>
      <c r="L252" s="13">
        <f>(Table2[[#This Row],[STARTING INVENTORY]]-Table2[[#This Row],[ENDING INVENTORY]])/(Table2[[#This Row],[STARTING INVENTORY]])</f>
        <v>0.86224489795918369</v>
      </c>
      <c r="M252">
        <f>Table2[[#This Row],[STARTING INVENTORY]]-Table2[[#This Row],[ENDING INVENTORY]]</f>
        <v>169</v>
      </c>
    </row>
    <row r="253" spans="1:13">
      <c r="A253" t="s">
        <v>7</v>
      </c>
      <c r="B253" t="s">
        <v>161</v>
      </c>
      <c r="C253" t="s">
        <v>96</v>
      </c>
      <c r="D253" t="s">
        <v>33</v>
      </c>
      <c r="E253" s="3">
        <v>1</v>
      </c>
      <c r="F253" s="3">
        <v>1.04</v>
      </c>
      <c r="G253">
        <v>2.02</v>
      </c>
      <c r="H253" s="3">
        <v>2.02</v>
      </c>
      <c r="I253">
        <v>197</v>
      </c>
      <c r="J253">
        <v>1</v>
      </c>
      <c r="K253">
        <v>172</v>
      </c>
      <c r="L253" s="13">
        <f>(Table2[[#This Row],[STARTING INVENTORY]]-Table2[[#This Row],[ENDING INVENTORY]])/(Table2[[#This Row],[STARTING INVENTORY]])</f>
        <v>0.12690355329949238</v>
      </c>
      <c r="M253">
        <f>Table2[[#This Row],[STARTING INVENTORY]]-Table2[[#This Row],[ENDING INVENTORY]]</f>
        <v>25</v>
      </c>
    </row>
    <row r="254" spans="1:13">
      <c r="A254" t="s">
        <v>7</v>
      </c>
      <c r="B254" t="s">
        <v>161</v>
      </c>
      <c r="C254" t="s">
        <v>102</v>
      </c>
      <c r="D254" t="s">
        <v>29</v>
      </c>
      <c r="E254" s="3">
        <v>2.56</v>
      </c>
      <c r="F254" s="3">
        <v>2.6624000000000003</v>
      </c>
      <c r="G254">
        <v>2.06</v>
      </c>
      <c r="H254" s="3">
        <v>5.2736000000000001</v>
      </c>
      <c r="I254">
        <v>145</v>
      </c>
      <c r="J254">
        <v>2</v>
      </c>
      <c r="K254">
        <v>70</v>
      </c>
      <c r="L254" s="13">
        <f>(Table2[[#This Row],[STARTING INVENTORY]]-Table2[[#This Row],[ENDING INVENTORY]])/(Table2[[#This Row],[STARTING INVENTORY]])</f>
        <v>0.51724137931034486</v>
      </c>
      <c r="M254">
        <f>Table2[[#This Row],[STARTING INVENTORY]]-Table2[[#This Row],[ENDING INVENTORY]]</f>
        <v>75</v>
      </c>
    </row>
    <row r="255" spans="1:13">
      <c r="A255" t="s">
        <v>7</v>
      </c>
      <c r="B255" t="s">
        <v>161</v>
      </c>
      <c r="C255" t="s">
        <v>108</v>
      </c>
      <c r="D255" t="s">
        <v>29</v>
      </c>
      <c r="E255" s="3">
        <v>0.75</v>
      </c>
      <c r="F255" s="3">
        <v>0.78</v>
      </c>
      <c r="G255">
        <v>2.09</v>
      </c>
      <c r="H255" s="3">
        <v>1.5674999999999999</v>
      </c>
      <c r="I255">
        <v>101</v>
      </c>
      <c r="J255">
        <v>9</v>
      </c>
      <c r="K255">
        <v>77</v>
      </c>
      <c r="L255" s="13">
        <f>(Table2[[#This Row],[STARTING INVENTORY]]-Table2[[#This Row],[ENDING INVENTORY]])/(Table2[[#This Row],[STARTING INVENTORY]])</f>
        <v>0.23762376237623761</v>
      </c>
      <c r="M255">
        <f>Table2[[#This Row],[STARTING INVENTORY]]-Table2[[#This Row],[ENDING INVENTORY]]</f>
        <v>24</v>
      </c>
    </row>
    <row r="256" spans="1:13">
      <c r="A256" t="s">
        <v>7</v>
      </c>
      <c r="B256" t="s">
        <v>161</v>
      </c>
      <c r="C256" t="s">
        <v>114</v>
      </c>
      <c r="D256" t="s">
        <v>33</v>
      </c>
      <c r="E256" s="3">
        <v>0.4</v>
      </c>
      <c r="F256" s="3">
        <v>0.41600000000000004</v>
      </c>
      <c r="G256">
        <v>2</v>
      </c>
      <c r="H256" s="3">
        <v>0.8</v>
      </c>
      <c r="I256">
        <v>177</v>
      </c>
      <c r="J256">
        <v>6</v>
      </c>
      <c r="K256">
        <v>62</v>
      </c>
      <c r="L256" s="13">
        <f>(Table2[[#This Row],[STARTING INVENTORY]]-Table2[[#This Row],[ENDING INVENTORY]])/(Table2[[#This Row],[STARTING INVENTORY]])</f>
        <v>0.64971751412429379</v>
      </c>
      <c r="M256">
        <f>Table2[[#This Row],[STARTING INVENTORY]]-Table2[[#This Row],[ENDING INVENTORY]]</f>
        <v>115</v>
      </c>
    </row>
    <row r="257" spans="1:13">
      <c r="A257" t="s">
        <v>7</v>
      </c>
      <c r="B257" t="s">
        <v>161</v>
      </c>
      <c r="C257" t="s">
        <v>120</v>
      </c>
      <c r="D257" t="s">
        <v>29</v>
      </c>
      <c r="E257" s="3">
        <v>1.4</v>
      </c>
      <c r="F257" s="3">
        <v>1.456</v>
      </c>
      <c r="G257">
        <v>2.09</v>
      </c>
      <c r="H257" s="3">
        <v>2.9259999999999997</v>
      </c>
      <c r="I257">
        <v>88</v>
      </c>
      <c r="J257">
        <v>3</v>
      </c>
      <c r="K257">
        <v>72</v>
      </c>
      <c r="L257" s="13">
        <f>(Table2[[#This Row],[STARTING INVENTORY]]-Table2[[#This Row],[ENDING INVENTORY]])/(Table2[[#This Row],[STARTING INVENTORY]])</f>
        <v>0.18181818181818182</v>
      </c>
      <c r="M257">
        <f>Table2[[#This Row],[STARTING INVENTORY]]-Table2[[#This Row],[ENDING INVENTORY]]</f>
        <v>16</v>
      </c>
    </row>
    <row r="258" spans="1:13">
      <c r="A258" t="s">
        <v>7</v>
      </c>
      <c r="B258" t="s">
        <v>161</v>
      </c>
      <c r="C258" t="s">
        <v>126</v>
      </c>
      <c r="D258" t="s">
        <v>29</v>
      </c>
      <c r="E258" s="3">
        <v>2</v>
      </c>
      <c r="F258" s="3">
        <v>2.08</v>
      </c>
      <c r="G258">
        <v>2.0499999999999998</v>
      </c>
      <c r="H258" s="3">
        <v>4.0999999999999996</v>
      </c>
      <c r="I258">
        <v>131</v>
      </c>
      <c r="J258">
        <v>7</v>
      </c>
      <c r="K258">
        <v>122</v>
      </c>
      <c r="L258" s="13">
        <f>(Table2[[#This Row],[STARTING INVENTORY]]-Table2[[#This Row],[ENDING INVENTORY]])/(Table2[[#This Row],[STARTING INVENTORY]])</f>
        <v>6.8702290076335881E-2</v>
      </c>
      <c r="M258">
        <f>Table2[[#This Row],[STARTING INVENTORY]]-Table2[[#This Row],[ENDING INVENTORY]]</f>
        <v>9</v>
      </c>
    </row>
    <row r="259" spans="1:13">
      <c r="A259" t="s">
        <v>7</v>
      </c>
      <c r="B259" t="s">
        <v>161</v>
      </c>
      <c r="C259" t="s">
        <v>132</v>
      </c>
      <c r="D259" t="s">
        <v>29</v>
      </c>
      <c r="E259" s="3">
        <v>0.45</v>
      </c>
      <c r="F259" s="3">
        <v>0.46800000000000003</v>
      </c>
      <c r="G259">
        <v>2.06</v>
      </c>
      <c r="H259" s="3">
        <v>0.92700000000000005</v>
      </c>
      <c r="I259">
        <v>153</v>
      </c>
      <c r="J259">
        <v>9</v>
      </c>
      <c r="K259">
        <v>123</v>
      </c>
      <c r="L259" s="13">
        <f>(Table2[[#This Row],[STARTING INVENTORY]]-Table2[[#This Row],[ENDING INVENTORY]])/(Table2[[#This Row],[STARTING INVENTORY]])</f>
        <v>0.19607843137254902</v>
      </c>
      <c r="M259">
        <f>Table2[[#This Row],[STARTING INVENTORY]]-Table2[[#This Row],[ENDING INVENTORY]]</f>
        <v>30</v>
      </c>
    </row>
    <row r="260" spans="1:13">
      <c r="A260" t="s">
        <v>7</v>
      </c>
      <c r="B260" t="s">
        <v>161</v>
      </c>
      <c r="C260" t="s">
        <v>138</v>
      </c>
      <c r="D260" t="s">
        <v>33</v>
      </c>
      <c r="E260" s="3">
        <v>1.9</v>
      </c>
      <c r="F260" s="3">
        <v>1.976</v>
      </c>
      <c r="G260">
        <v>2.0499999999999998</v>
      </c>
      <c r="H260" s="3">
        <v>3.8949999999999996</v>
      </c>
      <c r="I260">
        <v>178</v>
      </c>
      <c r="J260">
        <v>4</v>
      </c>
      <c r="K260">
        <v>118</v>
      </c>
      <c r="L260" s="13">
        <f>(Table2[[#This Row],[STARTING INVENTORY]]-Table2[[#This Row],[ENDING INVENTORY]])/(Table2[[#This Row],[STARTING INVENTORY]])</f>
        <v>0.33707865168539325</v>
      </c>
      <c r="M260">
        <f>Table2[[#This Row],[STARTING INVENTORY]]-Table2[[#This Row],[ENDING INVENTORY]]</f>
        <v>60</v>
      </c>
    </row>
    <row r="261" spans="1:13">
      <c r="A261" t="s">
        <v>7</v>
      </c>
      <c r="B261" t="s">
        <v>161</v>
      </c>
      <c r="C261" t="s">
        <v>144</v>
      </c>
      <c r="D261" t="s">
        <v>33</v>
      </c>
      <c r="E261" s="3">
        <v>4</v>
      </c>
      <c r="F261" s="3">
        <v>4.16</v>
      </c>
      <c r="G261">
        <v>1.99</v>
      </c>
      <c r="H261" s="3">
        <v>7.96</v>
      </c>
      <c r="I261">
        <v>60</v>
      </c>
      <c r="J261">
        <v>0</v>
      </c>
      <c r="K261">
        <v>56</v>
      </c>
      <c r="L261" s="13">
        <f>(Table2[[#This Row],[STARTING INVENTORY]]-Table2[[#This Row],[ENDING INVENTORY]])/(Table2[[#This Row],[STARTING INVENTORY]])</f>
        <v>6.6666666666666666E-2</v>
      </c>
      <c r="M261">
        <f>Table2[[#This Row],[STARTING INVENTORY]]-Table2[[#This Row],[ENDING INVENTORY]]</f>
        <v>4</v>
      </c>
    </row>
    <row r="262" spans="1:13">
      <c r="A262" t="s">
        <v>7</v>
      </c>
      <c r="B262" t="s">
        <v>162</v>
      </c>
      <c r="C262" t="s">
        <v>30</v>
      </c>
      <c r="D262" t="s">
        <v>29</v>
      </c>
      <c r="E262" s="3">
        <v>2.85</v>
      </c>
      <c r="F262" s="3">
        <v>2.9640000000000004</v>
      </c>
      <c r="G262">
        <v>2.1</v>
      </c>
      <c r="H262" s="3">
        <v>5.9850000000000003</v>
      </c>
      <c r="I262">
        <v>76</v>
      </c>
      <c r="J262">
        <v>1</v>
      </c>
      <c r="K262">
        <v>18</v>
      </c>
      <c r="L262" s="13">
        <f>(Table2[[#This Row],[STARTING INVENTORY]]-Table2[[#This Row],[ENDING INVENTORY]])/(Table2[[#This Row],[STARTING INVENTORY]])</f>
        <v>0.76315789473684215</v>
      </c>
      <c r="M262">
        <f>Table2[[#This Row],[STARTING INVENTORY]]-Table2[[#This Row],[ENDING INVENTORY]]</f>
        <v>58</v>
      </c>
    </row>
    <row r="263" spans="1:13">
      <c r="A263" t="s">
        <v>7</v>
      </c>
      <c r="B263" t="s">
        <v>162</v>
      </c>
      <c r="C263" t="s">
        <v>37</v>
      </c>
      <c r="D263" t="s">
        <v>29</v>
      </c>
      <c r="E263" s="3">
        <v>2.5</v>
      </c>
      <c r="F263" s="3">
        <v>2.6</v>
      </c>
      <c r="G263">
        <v>2</v>
      </c>
      <c r="H263" s="3">
        <v>5</v>
      </c>
      <c r="I263">
        <v>69</v>
      </c>
      <c r="J263">
        <v>5</v>
      </c>
      <c r="K263">
        <v>46</v>
      </c>
      <c r="L263" s="13">
        <f>(Table2[[#This Row],[STARTING INVENTORY]]-Table2[[#This Row],[ENDING INVENTORY]])/(Table2[[#This Row],[STARTING INVENTORY]])</f>
        <v>0.33333333333333331</v>
      </c>
      <c r="M263">
        <f>Table2[[#This Row],[STARTING INVENTORY]]-Table2[[#This Row],[ENDING INVENTORY]]</f>
        <v>23</v>
      </c>
    </row>
    <row r="264" spans="1:13">
      <c r="A264" t="s">
        <v>7</v>
      </c>
      <c r="B264" t="s">
        <v>162</v>
      </c>
      <c r="C264" t="s">
        <v>43</v>
      </c>
      <c r="D264" t="s">
        <v>29</v>
      </c>
      <c r="E264" s="3">
        <v>2.1</v>
      </c>
      <c r="F264" s="3">
        <v>2.1840000000000002</v>
      </c>
      <c r="G264">
        <v>1.95</v>
      </c>
      <c r="H264" s="3">
        <v>4.0949999999999998</v>
      </c>
      <c r="I264">
        <v>42</v>
      </c>
      <c r="J264">
        <v>0</v>
      </c>
      <c r="K264">
        <v>13</v>
      </c>
      <c r="L264" s="13">
        <f>(Table2[[#This Row],[STARTING INVENTORY]]-Table2[[#This Row],[ENDING INVENTORY]])/(Table2[[#This Row],[STARTING INVENTORY]])</f>
        <v>0.69047619047619047</v>
      </c>
      <c r="M264">
        <f>Table2[[#This Row],[STARTING INVENTORY]]-Table2[[#This Row],[ENDING INVENTORY]]</f>
        <v>29</v>
      </c>
    </row>
    <row r="265" spans="1:13">
      <c r="A265" t="s">
        <v>7</v>
      </c>
      <c r="B265" t="s">
        <v>162</v>
      </c>
      <c r="C265" t="s">
        <v>49</v>
      </c>
      <c r="D265" t="s">
        <v>29</v>
      </c>
      <c r="E265" s="3">
        <v>1</v>
      </c>
      <c r="F265" s="3">
        <v>1.04</v>
      </c>
      <c r="G265">
        <v>1.96</v>
      </c>
      <c r="H265" s="3">
        <v>1.96</v>
      </c>
      <c r="I265">
        <v>50</v>
      </c>
      <c r="J265">
        <v>5</v>
      </c>
      <c r="K265">
        <v>37</v>
      </c>
      <c r="L265" s="13">
        <f>(Table2[[#This Row],[STARTING INVENTORY]]-Table2[[#This Row],[ENDING INVENTORY]])/(Table2[[#This Row],[STARTING INVENTORY]])</f>
        <v>0.26</v>
      </c>
      <c r="M265">
        <f>Table2[[#This Row],[STARTING INVENTORY]]-Table2[[#This Row],[ENDING INVENTORY]]</f>
        <v>13</v>
      </c>
    </row>
    <row r="266" spans="1:13">
      <c r="A266" t="s">
        <v>7</v>
      </c>
      <c r="B266" t="s">
        <v>162</v>
      </c>
      <c r="C266" t="s">
        <v>55</v>
      </c>
      <c r="D266" t="s">
        <v>29</v>
      </c>
      <c r="E266" s="3">
        <v>0.9</v>
      </c>
      <c r="F266" s="3">
        <v>0.93600000000000005</v>
      </c>
      <c r="G266">
        <v>2.1</v>
      </c>
      <c r="H266" s="3">
        <v>1.8900000000000001</v>
      </c>
      <c r="I266">
        <v>61</v>
      </c>
      <c r="J266">
        <v>0</v>
      </c>
      <c r="K266">
        <v>52</v>
      </c>
      <c r="L266" s="13">
        <f>(Table2[[#This Row],[STARTING INVENTORY]]-Table2[[#This Row],[ENDING INVENTORY]])/(Table2[[#This Row],[STARTING INVENTORY]])</f>
        <v>0.14754098360655737</v>
      </c>
      <c r="M266">
        <f>Table2[[#This Row],[STARTING INVENTORY]]-Table2[[#This Row],[ENDING INVENTORY]]</f>
        <v>9</v>
      </c>
    </row>
    <row r="267" spans="1:13">
      <c r="A267" t="s">
        <v>7</v>
      </c>
      <c r="B267" t="s">
        <v>162</v>
      </c>
      <c r="C267" t="s">
        <v>61</v>
      </c>
      <c r="D267" t="s">
        <v>29</v>
      </c>
      <c r="E267" s="3">
        <v>1.9</v>
      </c>
      <c r="F267" s="3">
        <v>1.976</v>
      </c>
      <c r="G267">
        <v>2.0499999999999998</v>
      </c>
      <c r="H267" s="3">
        <v>3.8949999999999996</v>
      </c>
      <c r="I267">
        <v>26</v>
      </c>
      <c r="J267">
        <v>0</v>
      </c>
      <c r="K267">
        <v>3</v>
      </c>
      <c r="L267" s="13">
        <f>(Table2[[#This Row],[STARTING INVENTORY]]-Table2[[#This Row],[ENDING INVENTORY]])/(Table2[[#This Row],[STARTING INVENTORY]])</f>
        <v>0.88461538461538458</v>
      </c>
      <c r="M267">
        <f>Table2[[#This Row],[STARTING INVENTORY]]-Table2[[#This Row],[ENDING INVENTORY]]</f>
        <v>23</v>
      </c>
    </row>
    <row r="268" spans="1:13">
      <c r="A268" t="s">
        <v>7</v>
      </c>
      <c r="B268" t="s">
        <v>162</v>
      </c>
      <c r="C268" t="s">
        <v>67</v>
      </c>
      <c r="D268" t="s">
        <v>29</v>
      </c>
      <c r="E268" s="3">
        <v>1.3</v>
      </c>
      <c r="F268" s="3">
        <v>1.3520000000000001</v>
      </c>
      <c r="G268">
        <v>2.06</v>
      </c>
      <c r="H268" s="3">
        <v>2.6780000000000004</v>
      </c>
      <c r="I268">
        <v>35</v>
      </c>
      <c r="J268">
        <v>1</v>
      </c>
      <c r="K268">
        <v>16</v>
      </c>
      <c r="L268" s="13">
        <f>(Table2[[#This Row],[STARTING INVENTORY]]-Table2[[#This Row],[ENDING INVENTORY]])/(Table2[[#This Row],[STARTING INVENTORY]])</f>
        <v>0.54285714285714282</v>
      </c>
      <c r="M268">
        <f>Table2[[#This Row],[STARTING INVENTORY]]-Table2[[#This Row],[ENDING INVENTORY]]</f>
        <v>19</v>
      </c>
    </row>
    <row r="269" spans="1:13">
      <c r="A269" t="s">
        <v>7</v>
      </c>
      <c r="B269" t="s">
        <v>162</v>
      </c>
      <c r="C269" t="s">
        <v>73</v>
      </c>
      <c r="D269" t="s">
        <v>29</v>
      </c>
      <c r="E269" s="3">
        <v>4</v>
      </c>
      <c r="F269" s="3">
        <v>4.16</v>
      </c>
      <c r="G269">
        <v>2.09</v>
      </c>
      <c r="H269" s="3">
        <v>8.36</v>
      </c>
      <c r="I269">
        <v>79</v>
      </c>
      <c r="J269">
        <v>0</v>
      </c>
      <c r="K269">
        <v>29</v>
      </c>
      <c r="L269" s="13">
        <f>(Table2[[#This Row],[STARTING INVENTORY]]-Table2[[#This Row],[ENDING INVENTORY]])/(Table2[[#This Row],[STARTING INVENTORY]])</f>
        <v>0.63291139240506333</v>
      </c>
      <c r="M269">
        <f>Table2[[#This Row],[STARTING INVENTORY]]-Table2[[#This Row],[ENDING INVENTORY]]</f>
        <v>50</v>
      </c>
    </row>
    <row r="270" spans="1:13">
      <c r="A270" t="s">
        <v>7</v>
      </c>
      <c r="B270" t="s">
        <v>162</v>
      </c>
      <c r="C270" t="s">
        <v>79</v>
      </c>
      <c r="D270" t="s">
        <v>29</v>
      </c>
      <c r="E270" s="3">
        <v>2.2000000000000002</v>
      </c>
      <c r="F270" s="3">
        <v>2.2880000000000003</v>
      </c>
      <c r="G270">
        <v>1.96</v>
      </c>
      <c r="H270" s="3">
        <v>4.3120000000000003</v>
      </c>
      <c r="I270">
        <v>21</v>
      </c>
      <c r="J270">
        <v>8</v>
      </c>
      <c r="K270">
        <v>8</v>
      </c>
      <c r="L270" s="13">
        <f>(Table2[[#This Row],[STARTING INVENTORY]]-Table2[[#This Row],[ENDING INVENTORY]])/(Table2[[#This Row],[STARTING INVENTORY]])</f>
        <v>0.61904761904761907</v>
      </c>
      <c r="M270">
        <f>Table2[[#This Row],[STARTING INVENTORY]]-Table2[[#This Row],[ENDING INVENTORY]]</f>
        <v>13</v>
      </c>
    </row>
    <row r="271" spans="1:13">
      <c r="A271" t="s">
        <v>7</v>
      </c>
      <c r="B271" t="s">
        <v>162</v>
      </c>
      <c r="C271" t="s">
        <v>85</v>
      </c>
      <c r="D271" t="s">
        <v>29</v>
      </c>
      <c r="E271" s="3">
        <v>2.75</v>
      </c>
      <c r="F271" s="3">
        <v>2.8600000000000003</v>
      </c>
      <c r="G271">
        <v>2.0099999999999998</v>
      </c>
      <c r="H271" s="3">
        <v>5.5274999999999999</v>
      </c>
      <c r="I271">
        <v>20</v>
      </c>
      <c r="J271">
        <v>5</v>
      </c>
      <c r="K271">
        <v>15</v>
      </c>
      <c r="L271" s="13">
        <f>(Table2[[#This Row],[STARTING INVENTORY]]-Table2[[#This Row],[ENDING INVENTORY]])/(Table2[[#This Row],[STARTING INVENTORY]])</f>
        <v>0.25</v>
      </c>
      <c r="M271">
        <f>Table2[[#This Row],[STARTING INVENTORY]]-Table2[[#This Row],[ENDING INVENTORY]]</f>
        <v>5</v>
      </c>
    </row>
    <row r="272" spans="1:13">
      <c r="A272" t="s">
        <v>7</v>
      </c>
      <c r="B272" t="s">
        <v>162</v>
      </c>
      <c r="C272" t="s">
        <v>91</v>
      </c>
      <c r="D272" t="s">
        <v>29</v>
      </c>
      <c r="E272" s="3">
        <v>3.5</v>
      </c>
      <c r="F272" s="3">
        <v>3.64</v>
      </c>
      <c r="G272">
        <v>2.0099999999999998</v>
      </c>
      <c r="H272" s="3">
        <v>7.0349999999999993</v>
      </c>
      <c r="I272">
        <v>67</v>
      </c>
      <c r="J272">
        <v>5</v>
      </c>
      <c r="K272">
        <v>32</v>
      </c>
      <c r="L272" s="13">
        <f>(Table2[[#This Row],[STARTING INVENTORY]]-Table2[[#This Row],[ENDING INVENTORY]])/(Table2[[#This Row],[STARTING INVENTORY]])</f>
        <v>0.52238805970149249</v>
      </c>
      <c r="M272">
        <f>Table2[[#This Row],[STARTING INVENTORY]]-Table2[[#This Row],[ENDING INVENTORY]]</f>
        <v>35</v>
      </c>
    </row>
    <row r="273" spans="1:13">
      <c r="A273" t="s">
        <v>7</v>
      </c>
      <c r="B273" t="s">
        <v>162</v>
      </c>
      <c r="C273" t="s">
        <v>97</v>
      </c>
      <c r="D273" t="s">
        <v>29</v>
      </c>
      <c r="E273" s="3">
        <v>8</v>
      </c>
      <c r="F273" s="3">
        <v>8.32</v>
      </c>
      <c r="G273">
        <v>2</v>
      </c>
      <c r="H273" s="3">
        <v>16</v>
      </c>
      <c r="I273">
        <v>31</v>
      </c>
      <c r="J273">
        <v>3</v>
      </c>
      <c r="K273">
        <v>23</v>
      </c>
      <c r="L273" s="13">
        <f>(Table2[[#This Row],[STARTING INVENTORY]]-Table2[[#This Row],[ENDING INVENTORY]])/(Table2[[#This Row],[STARTING INVENTORY]])</f>
        <v>0.25806451612903225</v>
      </c>
      <c r="M273">
        <f>Table2[[#This Row],[STARTING INVENTORY]]-Table2[[#This Row],[ENDING INVENTORY]]</f>
        <v>8</v>
      </c>
    </row>
    <row r="274" spans="1:13">
      <c r="A274" t="s">
        <v>7</v>
      </c>
      <c r="B274" t="s">
        <v>162</v>
      </c>
      <c r="C274" t="s">
        <v>103</v>
      </c>
      <c r="D274" t="s">
        <v>29</v>
      </c>
      <c r="E274" s="3">
        <v>7</v>
      </c>
      <c r="F274" s="3">
        <v>7.28</v>
      </c>
      <c r="G274">
        <v>2.06</v>
      </c>
      <c r="H274" s="3">
        <v>14.42</v>
      </c>
      <c r="I274">
        <v>88</v>
      </c>
      <c r="J274">
        <v>0</v>
      </c>
      <c r="K274">
        <v>51</v>
      </c>
      <c r="L274" s="13">
        <f>(Table2[[#This Row],[STARTING INVENTORY]]-Table2[[#This Row],[ENDING INVENTORY]])/(Table2[[#This Row],[STARTING INVENTORY]])</f>
        <v>0.42045454545454547</v>
      </c>
      <c r="M274">
        <f>Table2[[#This Row],[STARTING INVENTORY]]-Table2[[#This Row],[ENDING INVENTORY]]</f>
        <v>37</v>
      </c>
    </row>
    <row r="275" spans="1:13">
      <c r="A275" t="s">
        <v>7</v>
      </c>
      <c r="B275" t="s">
        <v>162</v>
      </c>
      <c r="C275" t="s">
        <v>109</v>
      </c>
      <c r="D275" t="s">
        <v>29</v>
      </c>
      <c r="E275" s="3">
        <v>1.8</v>
      </c>
      <c r="F275" s="3">
        <v>1.8720000000000001</v>
      </c>
      <c r="G275">
        <v>1.98</v>
      </c>
      <c r="H275" s="3">
        <v>3.5640000000000001</v>
      </c>
      <c r="I275">
        <v>56</v>
      </c>
      <c r="J275">
        <v>2</v>
      </c>
      <c r="K275">
        <v>24</v>
      </c>
      <c r="L275" s="13">
        <f>(Table2[[#This Row],[STARTING INVENTORY]]-Table2[[#This Row],[ENDING INVENTORY]])/(Table2[[#This Row],[STARTING INVENTORY]])</f>
        <v>0.5714285714285714</v>
      </c>
      <c r="M275">
        <f>Table2[[#This Row],[STARTING INVENTORY]]-Table2[[#This Row],[ENDING INVENTORY]]</f>
        <v>32</v>
      </c>
    </row>
    <row r="276" spans="1:13">
      <c r="A276" t="s">
        <v>7</v>
      </c>
      <c r="B276" t="s">
        <v>162</v>
      </c>
      <c r="C276" t="s">
        <v>115</v>
      </c>
      <c r="D276" t="s">
        <v>29</v>
      </c>
      <c r="E276" s="3">
        <v>9</v>
      </c>
      <c r="F276" s="3">
        <v>9.36</v>
      </c>
      <c r="G276">
        <v>1.95</v>
      </c>
      <c r="H276" s="3">
        <v>17.55</v>
      </c>
      <c r="I276">
        <v>51</v>
      </c>
      <c r="J276">
        <v>2</v>
      </c>
      <c r="K276">
        <v>13</v>
      </c>
      <c r="L276" s="13">
        <f>(Table2[[#This Row],[STARTING INVENTORY]]-Table2[[#This Row],[ENDING INVENTORY]])/(Table2[[#This Row],[STARTING INVENTORY]])</f>
        <v>0.74509803921568629</v>
      </c>
      <c r="M276">
        <f>Table2[[#This Row],[STARTING INVENTORY]]-Table2[[#This Row],[ENDING INVENTORY]]</f>
        <v>38</v>
      </c>
    </row>
    <row r="277" spans="1:13">
      <c r="A277" t="s">
        <v>7</v>
      </c>
      <c r="B277" t="s">
        <v>162</v>
      </c>
      <c r="C277" t="s">
        <v>121</v>
      </c>
      <c r="D277" t="s">
        <v>29</v>
      </c>
      <c r="E277" s="3">
        <v>0.95</v>
      </c>
      <c r="F277" s="3">
        <v>0.98799999999999999</v>
      </c>
      <c r="G277">
        <v>1.99</v>
      </c>
      <c r="H277" s="3">
        <v>1.8904999999999998</v>
      </c>
      <c r="I277">
        <v>28</v>
      </c>
      <c r="J277">
        <v>2</v>
      </c>
      <c r="K277">
        <v>10</v>
      </c>
      <c r="L277" s="13">
        <f>(Table2[[#This Row],[STARTING INVENTORY]]-Table2[[#This Row],[ENDING INVENTORY]])/(Table2[[#This Row],[STARTING INVENTORY]])</f>
        <v>0.6428571428571429</v>
      </c>
      <c r="M277">
        <f>Table2[[#This Row],[STARTING INVENTORY]]-Table2[[#This Row],[ENDING INVENTORY]]</f>
        <v>18</v>
      </c>
    </row>
    <row r="278" spans="1:13">
      <c r="A278" t="s">
        <v>7</v>
      </c>
      <c r="B278" t="s">
        <v>162</v>
      </c>
      <c r="C278" t="s">
        <v>127</v>
      </c>
      <c r="D278" t="s">
        <v>29</v>
      </c>
      <c r="E278" s="3">
        <v>1.85</v>
      </c>
      <c r="F278" s="3">
        <v>1.9240000000000002</v>
      </c>
      <c r="G278">
        <v>2.04</v>
      </c>
      <c r="H278" s="3">
        <v>3.7740000000000005</v>
      </c>
      <c r="I278">
        <v>38</v>
      </c>
      <c r="J278">
        <v>1</v>
      </c>
      <c r="K278">
        <v>34</v>
      </c>
      <c r="L278" s="13">
        <f>(Table2[[#This Row],[STARTING INVENTORY]]-Table2[[#This Row],[ENDING INVENTORY]])/(Table2[[#This Row],[STARTING INVENTORY]])</f>
        <v>0.10526315789473684</v>
      </c>
      <c r="M278">
        <f>Table2[[#This Row],[STARTING INVENTORY]]-Table2[[#This Row],[ENDING INVENTORY]]</f>
        <v>4</v>
      </c>
    </row>
    <row r="279" spans="1:13">
      <c r="A279" t="s">
        <v>7</v>
      </c>
      <c r="B279" t="s">
        <v>162</v>
      </c>
      <c r="C279" t="s">
        <v>133</v>
      </c>
      <c r="D279" t="s">
        <v>29</v>
      </c>
      <c r="E279" s="3">
        <v>5.5</v>
      </c>
      <c r="F279" s="3">
        <v>5.7200000000000006</v>
      </c>
      <c r="G279">
        <v>2.0499999999999998</v>
      </c>
      <c r="H279" s="3">
        <v>11.274999999999999</v>
      </c>
      <c r="I279">
        <v>67</v>
      </c>
      <c r="J279">
        <v>2</v>
      </c>
      <c r="K279">
        <v>58</v>
      </c>
      <c r="L279" s="13">
        <f>(Table2[[#This Row],[STARTING INVENTORY]]-Table2[[#This Row],[ENDING INVENTORY]])/(Table2[[#This Row],[STARTING INVENTORY]])</f>
        <v>0.13432835820895522</v>
      </c>
      <c r="M279">
        <f>Table2[[#This Row],[STARTING INVENTORY]]-Table2[[#This Row],[ENDING INVENTORY]]</f>
        <v>9</v>
      </c>
    </row>
    <row r="280" spans="1:13">
      <c r="A280" t="s">
        <v>7</v>
      </c>
      <c r="B280" t="s">
        <v>162</v>
      </c>
      <c r="C280" t="s">
        <v>139</v>
      </c>
      <c r="D280" t="s">
        <v>29</v>
      </c>
      <c r="E280" s="3">
        <v>1.9</v>
      </c>
      <c r="F280" s="3">
        <v>1.976</v>
      </c>
      <c r="G280">
        <v>2.0099999999999998</v>
      </c>
      <c r="H280" s="3">
        <v>3.8189999999999995</v>
      </c>
      <c r="I280">
        <v>99</v>
      </c>
      <c r="J280">
        <v>2</v>
      </c>
      <c r="K280">
        <v>77</v>
      </c>
      <c r="L280" s="13">
        <f>(Table2[[#This Row],[STARTING INVENTORY]]-Table2[[#This Row],[ENDING INVENTORY]])/(Table2[[#This Row],[STARTING INVENTORY]])</f>
        <v>0.22222222222222221</v>
      </c>
      <c r="M280">
        <f>Table2[[#This Row],[STARTING INVENTORY]]-Table2[[#This Row],[ENDING INVENTORY]]</f>
        <v>22</v>
      </c>
    </row>
    <row r="281" spans="1:13">
      <c r="A281" t="s">
        <v>7</v>
      </c>
      <c r="B281" t="s">
        <v>162</v>
      </c>
      <c r="C281" t="s">
        <v>145</v>
      </c>
      <c r="D281" t="s">
        <v>29</v>
      </c>
      <c r="E281" s="3">
        <v>2.75</v>
      </c>
      <c r="F281" s="3">
        <v>2.8600000000000003</v>
      </c>
      <c r="G281">
        <v>1.96</v>
      </c>
      <c r="H281" s="3">
        <v>5.39</v>
      </c>
      <c r="I281">
        <v>22</v>
      </c>
      <c r="J281">
        <v>10</v>
      </c>
      <c r="K281">
        <v>8</v>
      </c>
      <c r="L281" s="13">
        <f>(Table2[[#This Row],[STARTING INVENTORY]]-Table2[[#This Row],[ENDING INVENTORY]])/(Table2[[#This Row],[STARTING INVENTORY]])</f>
        <v>0.63636363636363635</v>
      </c>
      <c r="M281">
        <f>Table2[[#This Row],[STARTING INVENTORY]]-Table2[[#This Row],[ENDING INVENTORY]]</f>
        <v>14</v>
      </c>
    </row>
    <row r="282" spans="1:13">
      <c r="A282" t="s">
        <v>7</v>
      </c>
      <c r="B282" t="s">
        <v>163</v>
      </c>
      <c r="C282" t="s">
        <v>32</v>
      </c>
      <c r="D282" t="s">
        <v>33</v>
      </c>
      <c r="E282" s="3">
        <v>3.25</v>
      </c>
      <c r="F282" s="3">
        <v>3.38</v>
      </c>
      <c r="G282">
        <v>1.95</v>
      </c>
      <c r="H282" s="3">
        <v>6.3374999999999995</v>
      </c>
      <c r="I282">
        <v>69</v>
      </c>
      <c r="J282">
        <v>6</v>
      </c>
      <c r="K282">
        <v>3</v>
      </c>
      <c r="L282" s="13">
        <f>(Table2[[#This Row],[STARTING INVENTORY]]-Table2[[#This Row],[ENDING INVENTORY]])/(Table2[[#This Row],[STARTING INVENTORY]])</f>
        <v>0.95652173913043481</v>
      </c>
      <c r="M282">
        <f>Table2[[#This Row],[STARTING INVENTORY]]-Table2[[#This Row],[ENDING INVENTORY]]</f>
        <v>66</v>
      </c>
    </row>
    <row r="283" spans="1:13">
      <c r="A283" t="s">
        <v>7</v>
      </c>
      <c r="B283" t="s">
        <v>163</v>
      </c>
      <c r="C283" t="s">
        <v>39</v>
      </c>
      <c r="D283" t="s">
        <v>33</v>
      </c>
      <c r="E283" s="3">
        <v>0.9</v>
      </c>
      <c r="F283" s="3">
        <v>0.93600000000000005</v>
      </c>
      <c r="G283">
        <v>2.0300000000000002</v>
      </c>
      <c r="H283" s="3">
        <v>1.8270000000000002</v>
      </c>
      <c r="I283">
        <v>73</v>
      </c>
      <c r="J283">
        <v>2</v>
      </c>
      <c r="K283">
        <v>67</v>
      </c>
      <c r="L283" s="13">
        <f>(Table2[[#This Row],[STARTING INVENTORY]]-Table2[[#This Row],[ENDING INVENTORY]])/(Table2[[#This Row],[STARTING INVENTORY]])</f>
        <v>8.2191780821917804E-2</v>
      </c>
      <c r="M283">
        <f>Table2[[#This Row],[STARTING INVENTORY]]-Table2[[#This Row],[ENDING INVENTORY]]</f>
        <v>6</v>
      </c>
    </row>
    <row r="284" spans="1:13">
      <c r="A284" t="s">
        <v>7</v>
      </c>
      <c r="B284" t="s">
        <v>163</v>
      </c>
      <c r="C284" t="s">
        <v>45</v>
      </c>
      <c r="D284" t="s">
        <v>33</v>
      </c>
      <c r="E284" s="3">
        <v>1.6</v>
      </c>
      <c r="F284" s="3">
        <v>1.6640000000000001</v>
      </c>
      <c r="G284">
        <v>2.0099999999999998</v>
      </c>
      <c r="H284" s="3">
        <v>3.2159999999999997</v>
      </c>
      <c r="I284">
        <v>103</v>
      </c>
      <c r="J284">
        <v>3</v>
      </c>
      <c r="K284">
        <v>91</v>
      </c>
      <c r="L284" s="13">
        <f>(Table2[[#This Row],[STARTING INVENTORY]]-Table2[[#This Row],[ENDING INVENTORY]])/(Table2[[#This Row],[STARTING INVENTORY]])</f>
        <v>0.11650485436893204</v>
      </c>
      <c r="M284">
        <f>Table2[[#This Row],[STARTING INVENTORY]]-Table2[[#This Row],[ENDING INVENTORY]]</f>
        <v>12</v>
      </c>
    </row>
    <row r="285" spans="1:13">
      <c r="A285" t="s">
        <v>7</v>
      </c>
      <c r="B285" t="s">
        <v>163</v>
      </c>
      <c r="C285" t="s">
        <v>51</v>
      </c>
      <c r="D285" t="s">
        <v>33</v>
      </c>
      <c r="E285" s="3">
        <v>1.1000000000000001</v>
      </c>
      <c r="F285" s="3">
        <v>1.1440000000000001</v>
      </c>
      <c r="G285">
        <v>2</v>
      </c>
      <c r="H285" s="3">
        <v>2.2000000000000002</v>
      </c>
      <c r="I285">
        <v>82</v>
      </c>
      <c r="J285">
        <v>4</v>
      </c>
      <c r="K285">
        <v>7</v>
      </c>
      <c r="L285" s="13">
        <f>(Table2[[#This Row],[STARTING INVENTORY]]-Table2[[#This Row],[ENDING INVENTORY]])/(Table2[[#This Row],[STARTING INVENTORY]])</f>
        <v>0.91463414634146345</v>
      </c>
      <c r="M285">
        <f>Table2[[#This Row],[STARTING INVENTORY]]-Table2[[#This Row],[ENDING INVENTORY]]</f>
        <v>75</v>
      </c>
    </row>
    <row r="286" spans="1:13">
      <c r="A286" t="s">
        <v>7</v>
      </c>
      <c r="B286" t="s">
        <v>163</v>
      </c>
      <c r="C286" t="s">
        <v>57</v>
      </c>
      <c r="D286" t="s">
        <v>33</v>
      </c>
      <c r="E286" s="3">
        <v>0.95</v>
      </c>
      <c r="F286" s="3">
        <v>0.98799999999999999</v>
      </c>
      <c r="G286">
        <v>2</v>
      </c>
      <c r="H286" s="3">
        <v>1.9</v>
      </c>
      <c r="I286">
        <v>73</v>
      </c>
      <c r="J286">
        <v>0</v>
      </c>
      <c r="K286">
        <v>1</v>
      </c>
      <c r="L286" s="13">
        <f>(Table2[[#This Row],[STARTING INVENTORY]]-Table2[[#This Row],[ENDING INVENTORY]])/(Table2[[#This Row],[STARTING INVENTORY]])</f>
        <v>0.98630136986301364</v>
      </c>
      <c r="M286">
        <f>Table2[[#This Row],[STARTING INVENTORY]]-Table2[[#This Row],[ENDING INVENTORY]]</f>
        <v>72</v>
      </c>
    </row>
    <row r="287" spans="1:13">
      <c r="A287" t="s">
        <v>7</v>
      </c>
      <c r="B287" t="s">
        <v>163</v>
      </c>
      <c r="C287" t="s">
        <v>63</v>
      </c>
      <c r="D287" t="s">
        <v>33</v>
      </c>
      <c r="E287" s="3">
        <v>2.75</v>
      </c>
      <c r="F287" s="3">
        <v>2.8600000000000003</v>
      </c>
      <c r="G287">
        <v>2.0499999999999998</v>
      </c>
      <c r="H287" s="3">
        <v>5.6374999999999993</v>
      </c>
      <c r="I287">
        <v>124</v>
      </c>
      <c r="J287">
        <v>6</v>
      </c>
      <c r="K287">
        <v>104</v>
      </c>
      <c r="L287" s="13">
        <f>(Table2[[#This Row],[STARTING INVENTORY]]-Table2[[#This Row],[ENDING INVENTORY]])/(Table2[[#This Row],[STARTING INVENTORY]])</f>
        <v>0.16129032258064516</v>
      </c>
      <c r="M287">
        <f>Table2[[#This Row],[STARTING INVENTORY]]-Table2[[#This Row],[ENDING INVENTORY]]</f>
        <v>20</v>
      </c>
    </row>
    <row r="288" spans="1:13">
      <c r="A288" t="s">
        <v>7</v>
      </c>
      <c r="B288" t="s">
        <v>163</v>
      </c>
      <c r="C288" t="s">
        <v>69</v>
      </c>
      <c r="D288" t="s">
        <v>33</v>
      </c>
      <c r="E288" s="3">
        <v>1.9</v>
      </c>
      <c r="F288" s="3">
        <v>1.976</v>
      </c>
      <c r="G288">
        <v>1.97</v>
      </c>
      <c r="H288" s="3">
        <v>3.7429999999999999</v>
      </c>
      <c r="I288">
        <v>121</v>
      </c>
      <c r="J288">
        <v>6</v>
      </c>
      <c r="K288">
        <v>109</v>
      </c>
      <c r="L288" s="13">
        <f>(Table2[[#This Row],[STARTING INVENTORY]]-Table2[[#This Row],[ENDING INVENTORY]])/(Table2[[#This Row],[STARTING INVENTORY]])</f>
        <v>9.9173553719008267E-2</v>
      </c>
      <c r="M288">
        <f>Table2[[#This Row],[STARTING INVENTORY]]-Table2[[#This Row],[ENDING INVENTORY]]</f>
        <v>12</v>
      </c>
    </row>
    <row r="289" spans="1:13">
      <c r="A289" t="s">
        <v>7</v>
      </c>
      <c r="B289" t="s">
        <v>163</v>
      </c>
      <c r="C289" t="s">
        <v>75</v>
      </c>
      <c r="D289" t="s">
        <v>33</v>
      </c>
      <c r="E289" s="3">
        <v>4</v>
      </c>
      <c r="F289" s="3">
        <v>4.16</v>
      </c>
      <c r="G289">
        <v>2.08</v>
      </c>
      <c r="H289" s="3">
        <v>8.32</v>
      </c>
      <c r="I289">
        <v>85</v>
      </c>
      <c r="J289">
        <v>2</v>
      </c>
      <c r="K289">
        <v>40</v>
      </c>
      <c r="L289" s="13">
        <f>(Table2[[#This Row],[STARTING INVENTORY]]-Table2[[#This Row],[ENDING INVENTORY]])/(Table2[[#This Row],[STARTING INVENTORY]])</f>
        <v>0.52941176470588236</v>
      </c>
      <c r="M289">
        <f>Table2[[#This Row],[STARTING INVENTORY]]-Table2[[#This Row],[ENDING INVENTORY]]</f>
        <v>45</v>
      </c>
    </row>
    <row r="290" spans="1:13">
      <c r="A290" t="s">
        <v>7</v>
      </c>
      <c r="B290" t="s">
        <v>163</v>
      </c>
      <c r="C290" t="s">
        <v>81</v>
      </c>
      <c r="D290" t="s">
        <v>33</v>
      </c>
      <c r="E290" s="3">
        <v>0.8</v>
      </c>
      <c r="F290" s="3">
        <v>0.83200000000000007</v>
      </c>
      <c r="G290">
        <v>2.0499999999999998</v>
      </c>
      <c r="H290" s="3">
        <v>1.64</v>
      </c>
      <c r="I290">
        <v>87</v>
      </c>
      <c r="J290">
        <v>1</v>
      </c>
      <c r="K290">
        <v>54</v>
      </c>
      <c r="L290" s="13">
        <f>(Table2[[#This Row],[STARTING INVENTORY]]-Table2[[#This Row],[ENDING INVENTORY]])/(Table2[[#This Row],[STARTING INVENTORY]])</f>
        <v>0.37931034482758619</v>
      </c>
      <c r="M290">
        <f>Table2[[#This Row],[STARTING INVENTORY]]-Table2[[#This Row],[ENDING INVENTORY]]</f>
        <v>33</v>
      </c>
    </row>
    <row r="291" spans="1:13">
      <c r="A291" t="s">
        <v>7</v>
      </c>
      <c r="B291" t="s">
        <v>163</v>
      </c>
      <c r="C291" t="s">
        <v>87</v>
      </c>
      <c r="D291" t="s">
        <v>33</v>
      </c>
      <c r="E291" s="3">
        <v>4.25</v>
      </c>
      <c r="F291" s="3">
        <v>4.42</v>
      </c>
      <c r="G291">
        <v>2.0499999999999998</v>
      </c>
      <c r="H291" s="3">
        <v>8.7124999999999986</v>
      </c>
      <c r="I291">
        <v>153</v>
      </c>
      <c r="J291">
        <v>1</v>
      </c>
      <c r="K291">
        <v>15</v>
      </c>
      <c r="L291" s="13">
        <f>(Table2[[#This Row],[STARTING INVENTORY]]-Table2[[#This Row],[ENDING INVENTORY]])/(Table2[[#This Row],[STARTING INVENTORY]])</f>
        <v>0.90196078431372551</v>
      </c>
      <c r="M291">
        <f>Table2[[#This Row],[STARTING INVENTORY]]-Table2[[#This Row],[ENDING INVENTORY]]</f>
        <v>138</v>
      </c>
    </row>
    <row r="292" spans="1:13">
      <c r="A292" t="s">
        <v>7</v>
      </c>
      <c r="B292" t="s">
        <v>163</v>
      </c>
      <c r="C292" t="s">
        <v>93</v>
      </c>
      <c r="D292" t="s">
        <v>33</v>
      </c>
      <c r="E292" s="3">
        <v>1.6</v>
      </c>
      <c r="F292" s="3">
        <v>1.6640000000000001</v>
      </c>
      <c r="G292">
        <v>2</v>
      </c>
      <c r="H292" s="3">
        <v>3.2</v>
      </c>
      <c r="I292">
        <v>133</v>
      </c>
      <c r="J292">
        <v>2</v>
      </c>
      <c r="K292">
        <v>61</v>
      </c>
      <c r="L292" s="13">
        <f>(Table2[[#This Row],[STARTING INVENTORY]]-Table2[[#This Row],[ENDING INVENTORY]])/(Table2[[#This Row],[STARTING INVENTORY]])</f>
        <v>0.54135338345864659</v>
      </c>
      <c r="M292">
        <f>Table2[[#This Row],[STARTING INVENTORY]]-Table2[[#This Row],[ENDING INVENTORY]]</f>
        <v>72</v>
      </c>
    </row>
    <row r="293" spans="1:13">
      <c r="A293" t="s">
        <v>7</v>
      </c>
      <c r="B293" t="s">
        <v>163</v>
      </c>
      <c r="C293" t="s">
        <v>99</v>
      </c>
      <c r="D293" t="s">
        <v>33</v>
      </c>
      <c r="E293" s="3">
        <v>1.65</v>
      </c>
      <c r="F293" s="3">
        <v>1.716</v>
      </c>
      <c r="G293">
        <v>2.09</v>
      </c>
      <c r="H293" s="3">
        <v>3.4484999999999997</v>
      </c>
      <c r="I293">
        <v>148</v>
      </c>
      <c r="J293">
        <v>0</v>
      </c>
      <c r="K293">
        <v>112</v>
      </c>
      <c r="L293" s="13">
        <f>(Table2[[#This Row],[STARTING INVENTORY]]-Table2[[#This Row],[ENDING INVENTORY]])/(Table2[[#This Row],[STARTING INVENTORY]])</f>
        <v>0.24324324324324326</v>
      </c>
      <c r="M293">
        <f>Table2[[#This Row],[STARTING INVENTORY]]-Table2[[#This Row],[ENDING INVENTORY]]</f>
        <v>36</v>
      </c>
    </row>
    <row r="294" spans="1:13">
      <c r="A294" t="s">
        <v>7</v>
      </c>
      <c r="B294" t="s">
        <v>163</v>
      </c>
      <c r="C294" t="s">
        <v>105</v>
      </c>
      <c r="D294" t="s">
        <v>33</v>
      </c>
      <c r="E294" s="3">
        <v>2.2000000000000002</v>
      </c>
      <c r="F294" s="3">
        <v>2.2880000000000003</v>
      </c>
      <c r="G294">
        <v>2</v>
      </c>
      <c r="H294" s="3">
        <v>4.4000000000000004</v>
      </c>
      <c r="I294">
        <v>138</v>
      </c>
      <c r="J294">
        <v>6</v>
      </c>
      <c r="K294">
        <v>11</v>
      </c>
      <c r="L294" s="13">
        <f>(Table2[[#This Row],[STARTING INVENTORY]]-Table2[[#This Row],[ENDING INVENTORY]])/(Table2[[#This Row],[STARTING INVENTORY]])</f>
        <v>0.92028985507246375</v>
      </c>
      <c r="M294">
        <f>Table2[[#This Row],[STARTING INVENTORY]]-Table2[[#This Row],[ENDING INVENTORY]]</f>
        <v>127</v>
      </c>
    </row>
    <row r="295" spans="1:13">
      <c r="A295" t="s">
        <v>7</v>
      </c>
      <c r="B295" t="s">
        <v>163</v>
      </c>
      <c r="C295" t="s">
        <v>111</v>
      </c>
      <c r="D295" t="s">
        <v>33</v>
      </c>
      <c r="E295" s="3">
        <v>4</v>
      </c>
      <c r="F295" s="3">
        <v>4.16</v>
      </c>
      <c r="G295">
        <v>2.1</v>
      </c>
      <c r="H295" s="3">
        <v>8.4</v>
      </c>
      <c r="I295">
        <v>148</v>
      </c>
      <c r="J295">
        <v>0</v>
      </c>
      <c r="K295">
        <v>34</v>
      </c>
      <c r="L295" s="13">
        <f>(Table2[[#This Row],[STARTING INVENTORY]]-Table2[[#This Row],[ENDING INVENTORY]])/(Table2[[#This Row],[STARTING INVENTORY]])</f>
        <v>0.77027027027027029</v>
      </c>
      <c r="M295">
        <f>Table2[[#This Row],[STARTING INVENTORY]]-Table2[[#This Row],[ENDING INVENTORY]]</f>
        <v>114</v>
      </c>
    </row>
    <row r="296" spans="1:13">
      <c r="A296" t="s">
        <v>7</v>
      </c>
      <c r="B296" t="s">
        <v>163</v>
      </c>
      <c r="C296" t="s">
        <v>117</v>
      </c>
      <c r="D296" t="s">
        <v>33</v>
      </c>
      <c r="E296" s="3">
        <v>5.25</v>
      </c>
      <c r="F296" s="3">
        <v>5.46</v>
      </c>
      <c r="G296">
        <v>2.0300000000000002</v>
      </c>
      <c r="H296" s="3">
        <v>10.657500000000001</v>
      </c>
      <c r="I296">
        <v>74</v>
      </c>
      <c r="J296">
        <v>1</v>
      </c>
      <c r="K296">
        <v>10</v>
      </c>
      <c r="L296" s="13">
        <f>(Table2[[#This Row],[STARTING INVENTORY]]-Table2[[#This Row],[ENDING INVENTORY]])/(Table2[[#This Row],[STARTING INVENTORY]])</f>
        <v>0.86486486486486491</v>
      </c>
      <c r="M296">
        <f>Table2[[#This Row],[STARTING INVENTORY]]-Table2[[#This Row],[ENDING INVENTORY]]</f>
        <v>64</v>
      </c>
    </row>
    <row r="297" spans="1:13">
      <c r="A297" t="s">
        <v>7</v>
      </c>
      <c r="B297" t="s">
        <v>163</v>
      </c>
      <c r="C297" t="s">
        <v>123</v>
      </c>
      <c r="D297" t="s">
        <v>33</v>
      </c>
      <c r="E297" s="3">
        <v>2</v>
      </c>
      <c r="F297" s="3">
        <v>2.08</v>
      </c>
      <c r="G297">
        <v>2.08</v>
      </c>
      <c r="H297" s="3">
        <v>4.16</v>
      </c>
      <c r="I297">
        <v>142</v>
      </c>
      <c r="J297">
        <v>7</v>
      </c>
      <c r="K297">
        <v>63</v>
      </c>
      <c r="L297" s="13">
        <f>(Table2[[#This Row],[STARTING INVENTORY]]-Table2[[#This Row],[ENDING INVENTORY]])/(Table2[[#This Row],[STARTING INVENTORY]])</f>
        <v>0.55633802816901412</v>
      </c>
      <c r="M297">
        <f>Table2[[#This Row],[STARTING INVENTORY]]-Table2[[#This Row],[ENDING INVENTORY]]</f>
        <v>79</v>
      </c>
    </row>
    <row r="298" spans="1:13">
      <c r="A298" t="s">
        <v>7</v>
      </c>
      <c r="B298" t="s">
        <v>163</v>
      </c>
      <c r="C298" t="s">
        <v>129</v>
      </c>
      <c r="D298" t="s">
        <v>33</v>
      </c>
      <c r="E298" s="3">
        <v>2.8</v>
      </c>
      <c r="F298" s="3">
        <v>2.9119999999999999</v>
      </c>
      <c r="G298">
        <v>2.09</v>
      </c>
      <c r="H298" s="3">
        <v>5.8519999999999994</v>
      </c>
      <c r="I298">
        <v>67</v>
      </c>
      <c r="J298">
        <v>4</v>
      </c>
      <c r="K298">
        <v>45</v>
      </c>
      <c r="L298" s="13">
        <f>(Table2[[#This Row],[STARTING INVENTORY]]-Table2[[#This Row],[ENDING INVENTORY]])/(Table2[[#This Row],[STARTING INVENTORY]])</f>
        <v>0.32835820895522388</v>
      </c>
      <c r="M298">
        <f>Table2[[#This Row],[STARTING INVENTORY]]-Table2[[#This Row],[ENDING INVENTORY]]</f>
        <v>22</v>
      </c>
    </row>
    <row r="299" spans="1:13">
      <c r="A299" t="s">
        <v>7</v>
      </c>
      <c r="B299" t="s">
        <v>163</v>
      </c>
      <c r="C299" t="s">
        <v>135</v>
      </c>
      <c r="D299" t="s">
        <v>33</v>
      </c>
      <c r="E299" s="3">
        <v>1.35</v>
      </c>
      <c r="F299" s="3">
        <v>1.4040000000000001</v>
      </c>
      <c r="G299">
        <v>2.0700000000000003</v>
      </c>
      <c r="H299" s="3">
        <v>2.7945000000000007</v>
      </c>
      <c r="I299">
        <v>159</v>
      </c>
      <c r="J299">
        <v>1</v>
      </c>
      <c r="K299">
        <v>49</v>
      </c>
      <c r="L299" s="13">
        <f>(Table2[[#This Row],[STARTING INVENTORY]]-Table2[[#This Row],[ENDING INVENTORY]])/(Table2[[#This Row],[STARTING INVENTORY]])</f>
        <v>0.69182389937106914</v>
      </c>
      <c r="M299">
        <f>Table2[[#This Row],[STARTING INVENTORY]]-Table2[[#This Row],[ENDING INVENTORY]]</f>
        <v>110</v>
      </c>
    </row>
    <row r="300" spans="1:13">
      <c r="A300" t="s">
        <v>7</v>
      </c>
      <c r="B300" t="s">
        <v>163</v>
      </c>
      <c r="C300" t="s">
        <v>141</v>
      </c>
      <c r="D300" t="s">
        <v>33</v>
      </c>
      <c r="E300" s="3">
        <v>2.25</v>
      </c>
      <c r="F300" s="3">
        <v>2.34</v>
      </c>
      <c r="G300">
        <v>2.04</v>
      </c>
      <c r="H300" s="3">
        <v>4.59</v>
      </c>
      <c r="I300">
        <v>131</v>
      </c>
      <c r="J300">
        <v>1</v>
      </c>
      <c r="K300">
        <v>68</v>
      </c>
      <c r="L300" s="13">
        <f>(Table2[[#This Row],[STARTING INVENTORY]]-Table2[[#This Row],[ENDING INVENTORY]])/(Table2[[#This Row],[STARTING INVENTORY]])</f>
        <v>0.48091603053435117</v>
      </c>
      <c r="M300">
        <f>Table2[[#This Row],[STARTING INVENTORY]]-Table2[[#This Row],[ENDING INVENTORY]]</f>
        <v>63</v>
      </c>
    </row>
    <row r="301" spans="1:13">
      <c r="A301" t="s">
        <v>7</v>
      </c>
      <c r="B301" t="s">
        <v>163</v>
      </c>
      <c r="C301" t="s">
        <v>147</v>
      </c>
      <c r="D301" t="s">
        <v>33</v>
      </c>
      <c r="E301" s="3">
        <v>2.8</v>
      </c>
      <c r="F301" s="3">
        <v>2.9119999999999999</v>
      </c>
      <c r="G301">
        <v>1.99</v>
      </c>
      <c r="H301" s="3">
        <v>5.5720000000000001</v>
      </c>
      <c r="I301">
        <v>115</v>
      </c>
      <c r="J301">
        <v>0</v>
      </c>
      <c r="K301">
        <v>47</v>
      </c>
      <c r="L301" s="13">
        <f>(Table2[[#This Row],[STARTING INVENTORY]]-Table2[[#This Row],[ENDING INVENTORY]])/(Table2[[#This Row],[STARTING INVENTORY]])</f>
        <v>0.59130434782608698</v>
      </c>
      <c r="M301">
        <f>Table2[[#This Row],[STARTING INVENTORY]]-Table2[[#This Row],[ENDING INVENTORY]]</f>
        <v>68</v>
      </c>
    </row>
    <row r="302" spans="1:13">
      <c r="A302" t="s">
        <v>7</v>
      </c>
      <c r="B302" t="s">
        <v>164</v>
      </c>
      <c r="C302" t="s">
        <v>31</v>
      </c>
      <c r="D302" t="s">
        <v>29</v>
      </c>
      <c r="E302" s="3">
        <v>5.25</v>
      </c>
      <c r="F302" s="3">
        <v>5.46</v>
      </c>
      <c r="G302">
        <v>2.1</v>
      </c>
      <c r="H302" s="3">
        <v>11.025</v>
      </c>
      <c r="I302">
        <v>83</v>
      </c>
      <c r="J302">
        <v>3</v>
      </c>
      <c r="K302">
        <v>19</v>
      </c>
      <c r="L302" s="13">
        <f>(Table2[[#This Row],[STARTING INVENTORY]]-Table2[[#This Row],[ENDING INVENTORY]])/(Table2[[#This Row],[STARTING INVENTORY]])</f>
        <v>0.77108433734939763</v>
      </c>
      <c r="M302">
        <f>Table2[[#This Row],[STARTING INVENTORY]]-Table2[[#This Row],[ENDING INVENTORY]]</f>
        <v>64</v>
      </c>
    </row>
    <row r="303" spans="1:13">
      <c r="A303" t="s">
        <v>7</v>
      </c>
      <c r="B303" t="s">
        <v>164</v>
      </c>
      <c r="C303" t="s">
        <v>38</v>
      </c>
      <c r="D303" t="s">
        <v>29</v>
      </c>
      <c r="E303" s="3">
        <v>4.75</v>
      </c>
      <c r="F303" s="3">
        <v>4.9400000000000004</v>
      </c>
      <c r="G303">
        <v>1.96</v>
      </c>
      <c r="H303" s="3">
        <v>9.31</v>
      </c>
      <c r="I303">
        <v>64</v>
      </c>
      <c r="J303">
        <v>0</v>
      </c>
      <c r="K303">
        <v>43</v>
      </c>
      <c r="L303" s="13">
        <f>(Table2[[#This Row],[STARTING INVENTORY]]-Table2[[#This Row],[ENDING INVENTORY]])/(Table2[[#This Row],[STARTING INVENTORY]])</f>
        <v>0.328125</v>
      </c>
      <c r="M303">
        <f>Table2[[#This Row],[STARTING INVENTORY]]-Table2[[#This Row],[ENDING INVENTORY]]</f>
        <v>21</v>
      </c>
    </row>
    <row r="304" spans="1:13">
      <c r="A304" t="s">
        <v>7</v>
      </c>
      <c r="B304" t="s">
        <v>164</v>
      </c>
      <c r="C304" t="s">
        <v>44</v>
      </c>
      <c r="D304" t="s">
        <v>29</v>
      </c>
      <c r="E304" s="3">
        <v>6.5</v>
      </c>
      <c r="F304" s="3">
        <v>6.76</v>
      </c>
      <c r="G304">
        <v>2.0099999999999998</v>
      </c>
      <c r="H304" s="3">
        <v>13.064999999999998</v>
      </c>
      <c r="I304">
        <v>109</v>
      </c>
      <c r="J304">
        <v>2</v>
      </c>
      <c r="K304">
        <v>32</v>
      </c>
      <c r="L304" s="13">
        <f>(Table2[[#This Row],[STARTING INVENTORY]]-Table2[[#This Row],[ENDING INVENTORY]])/(Table2[[#This Row],[STARTING INVENTORY]])</f>
        <v>0.70642201834862384</v>
      </c>
      <c r="M304">
        <f>Table2[[#This Row],[STARTING INVENTORY]]-Table2[[#This Row],[ENDING INVENTORY]]</f>
        <v>77</v>
      </c>
    </row>
    <row r="305" spans="1:13">
      <c r="A305" t="s">
        <v>7</v>
      </c>
      <c r="B305" t="s">
        <v>164</v>
      </c>
      <c r="C305" t="s">
        <v>50</v>
      </c>
      <c r="D305" t="s">
        <v>29</v>
      </c>
      <c r="E305" s="3">
        <v>5.75</v>
      </c>
      <c r="F305" s="3">
        <v>5.98</v>
      </c>
      <c r="G305">
        <v>1.99</v>
      </c>
      <c r="H305" s="3">
        <v>11.442500000000001</v>
      </c>
      <c r="I305">
        <v>90</v>
      </c>
      <c r="J305">
        <v>8</v>
      </c>
      <c r="K305">
        <v>72</v>
      </c>
      <c r="L305" s="13">
        <f>(Table2[[#This Row],[STARTING INVENTORY]]-Table2[[#This Row],[ENDING INVENTORY]])/(Table2[[#This Row],[STARTING INVENTORY]])</f>
        <v>0.2</v>
      </c>
      <c r="M305">
        <f>Table2[[#This Row],[STARTING INVENTORY]]-Table2[[#This Row],[ENDING INVENTORY]]</f>
        <v>18</v>
      </c>
    </row>
    <row r="306" spans="1:13">
      <c r="A306" t="s">
        <v>7</v>
      </c>
      <c r="B306" t="s">
        <v>164</v>
      </c>
      <c r="C306" t="s">
        <v>56</v>
      </c>
      <c r="D306" t="s">
        <v>29</v>
      </c>
      <c r="E306" s="3">
        <v>5.5</v>
      </c>
      <c r="F306" s="3">
        <v>5.7200000000000006</v>
      </c>
      <c r="G306">
        <v>1.96</v>
      </c>
      <c r="H306" s="3">
        <v>10.78</v>
      </c>
      <c r="I306">
        <v>70</v>
      </c>
      <c r="J306">
        <v>0</v>
      </c>
      <c r="K306">
        <v>60</v>
      </c>
      <c r="L306" s="13">
        <f>(Table2[[#This Row],[STARTING INVENTORY]]-Table2[[#This Row],[ENDING INVENTORY]])/(Table2[[#This Row],[STARTING INVENTORY]])</f>
        <v>0.14285714285714285</v>
      </c>
      <c r="M306">
        <f>Table2[[#This Row],[STARTING INVENTORY]]-Table2[[#This Row],[ENDING INVENTORY]]</f>
        <v>10</v>
      </c>
    </row>
    <row r="307" spans="1:13">
      <c r="A307" t="s">
        <v>7</v>
      </c>
      <c r="B307" t="s">
        <v>164</v>
      </c>
      <c r="C307" t="s">
        <v>62</v>
      </c>
      <c r="D307" t="s">
        <v>29</v>
      </c>
      <c r="E307" s="3">
        <v>4.25</v>
      </c>
      <c r="F307" s="3">
        <v>4.42</v>
      </c>
      <c r="G307">
        <v>2.08</v>
      </c>
      <c r="H307" s="3">
        <v>8.84</v>
      </c>
      <c r="I307">
        <v>62</v>
      </c>
      <c r="J307">
        <v>6</v>
      </c>
      <c r="K307">
        <v>8</v>
      </c>
      <c r="L307" s="13">
        <f>(Table2[[#This Row],[STARTING INVENTORY]]-Table2[[#This Row],[ENDING INVENTORY]])/(Table2[[#This Row],[STARTING INVENTORY]])</f>
        <v>0.87096774193548387</v>
      </c>
      <c r="M307">
        <f>Table2[[#This Row],[STARTING INVENTORY]]-Table2[[#This Row],[ENDING INVENTORY]]</f>
        <v>54</v>
      </c>
    </row>
    <row r="308" spans="1:13">
      <c r="A308" t="s">
        <v>7</v>
      </c>
      <c r="B308" t="s">
        <v>164</v>
      </c>
      <c r="C308" t="s">
        <v>68</v>
      </c>
      <c r="D308" t="s">
        <v>29</v>
      </c>
      <c r="E308" s="3">
        <v>5.0999999999999996</v>
      </c>
      <c r="F308" s="3">
        <v>5.3039999999999994</v>
      </c>
      <c r="G308">
        <v>1.98</v>
      </c>
      <c r="H308" s="3">
        <v>10.097999999999999</v>
      </c>
      <c r="I308">
        <v>97</v>
      </c>
      <c r="J308">
        <v>10</v>
      </c>
      <c r="K308">
        <v>67</v>
      </c>
      <c r="L308" s="13">
        <f>(Table2[[#This Row],[STARTING INVENTORY]]-Table2[[#This Row],[ENDING INVENTORY]])/(Table2[[#This Row],[STARTING INVENTORY]])</f>
        <v>0.30927835051546393</v>
      </c>
      <c r="M308">
        <f>Table2[[#This Row],[STARTING INVENTORY]]-Table2[[#This Row],[ENDING INVENTORY]]</f>
        <v>30</v>
      </c>
    </row>
    <row r="309" spans="1:13">
      <c r="A309" t="s">
        <v>7</v>
      </c>
      <c r="B309" t="s">
        <v>164</v>
      </c>
      <c r="C309" t="s">
        <v>74</v>
      </c>
      <c r="D309" t="s">
        <v>29</v>
      </c>
      <c r="E309" s="3">
        <v>2.8</v>
      </c>
      <c r="F309" s="3">
        <v>2.9119999999999999</v>
      </c>
      <c r="G309">
        <v>1.97</v>
      </c>
      <c r="H309" s="3">
        <v>5.516</v>
      </c>
      <c r="I309">
        <v>62</v>
      </c>
      <c r="J309">
        <v>0</v>
      </c>
      <c r="K309">
        <v>34</v>
      </c>
      <c r="L309" s="13">
        <f>(Table2[[#This Row],[STARTING INVENTORY]]-Table2[[#This Row],[ENDING INVENTORY]])/(Table2[[#This Row],[STARTING INVENTORY]])</f>
        <v>0.45161290322580644</v>
      </c>
      <c r="M309">
        <f>Table2[[#This Row],[STARTING INVENTORY]]-Table2[[#This Row],[ENDING INVENTORY]]</f>
        <v>28</v>
      </c>
    </row>
    <row r="310" spans="1:13">
      <c r="A310" t="s">
        <v>7</v>
      </c>
      <c r="B310" t="s">
        <v>164</v>
      </c>
      <c r="C310" t="s">
        <v>80</v>
      </c>
      <c r="D310" t="s">
        <v>29</v>
      </c>
      <c r="E310" s="3">
        <v>4</v>
      </c>
      <c r="F310" s="3">
        <v>4.16</v>
      </c>
      <c r="G310">
        <v>2.09</v>
      </c>
      <c r="H310" s="3">
        <v>8.36</v>
      </c>
      <c r="I310">
        <v>43</v>
      </c>
      <c r="J310">
        <v>6</v>
      </c>
      <c r="K310">
        <v>16</v>
      </c>
      <c r="L310" s="13">
        <f>(Table2[[#This Row],[STARTING INVENTORY]]-Table2[[#This Row],[ENDING INVENTORY]])/(Table2[[#This Row],[STARTING INVENTORY]])</f>
        <v>0.62790697674418605</v>
      </c>
      <c r="M310">
        <f>Table2[[#This Row],[STARTING INVENTORY]]-Table2[[#This Row],[ENDING INVENTORY]]</f>
        <v>27</v>
      </c>
    </row>
    <row r="311" spans="1:13">
      <c r="A311" t="s">
        <v>7</v>
      </c>
      <c r="B311" t="s">
        <v>164</v>
      </c>
      <c r="C311" t="s">
        <v>86</v>
      </c>
      <c r="D311" t="s">
        <v>29</v>
      </c>
      <c r="E311" s="3">
        <v>9</v>
      </c>
      <c r="F311" s="3">
        <v>9.36</v>
      </c>
      <c r="G311">
        <v>2.09</v>
      </c>
      <c r="H311" s="3">
        <v>18.809999999999999</v>
      </c>
      <c r="I311">
        <v>50</v>
      </c>
      <c r="J311">
        <v>2</v>
      </c>
      <c r="K311">
        <v>33</v>
      </c>
      <c r="L311" s="13">
        <f>(Table2[[#This Row],[STARTING INVENTORY]]-Table2[[#This Row],[ENDING INVENTORY]])/(Table2[[#This Row],[STARTING INVENTORY]])</f>
        <v>0.34</v>
      </c>
      <c r="M311">
        <f>Table2[[#This Row],[STARTING INVENTORY]]-Table2[[#This Row],[ENDING INVENTORY]]</f>
        <v>17</v>
      </c>
    </row>
    <row r="312" spans="1:13">
      <c r="A312" t="s">
        <v>7</v>
      </c>
      <c r="B312" t="s">
        <v>164</v>
      </c>
      <c r="C312" t="s">
        <v>92</v>
      </c>
      <c r="D312" t="s">
        <v>29</v>
      </c>
      <c r="E312" s="3">
        <v>2.75</v>
      </c>
      <c r="F312" s="3">
        <v>2.8600000000000003</v>
      </c>
      <c r="G312">
        <v>1.98</v>
      </c>
      <c r="H312" s="3">
        <v>5.4450000000000003</v>
      </c>
      <c r="I312">
        <v>77</v>
      </c>
      <c r="J312">
        <v>7</v>
      </c>
      <c r="K312">
        <v>64</v>
      </c>
      <c r="L312" s="13">
        <f>(Table2[[#This Row],[STARTING INVENTORY]]-Table2[[#This Row],[ENDING INVENTORY]])/(Table2[[#This Row],[STARTING INVENTORY]])</f>
        <v>0.16883116883116883</v>
      </c>
      <c r="M312">
        <f>Table2[[#This Row],[STARTING INVENTORY]]-Table2[[#This Row],[ENDING INVENTORY]]</f>
        <v>13</v>
      </c>
    </row>
    <row r="313" spans="1:13">
      <c r="A313" t="s">
        <v>7</v>
      </c>
      <c r="B313" t="s">
        <v>164</v>
      </c>
      <c r="C313" t="s">
        <v>98</v>
      </c>
      <c r="D313" t="s">
        <v>29</v>
      </c>
      <c r="E313" s="3">
        <v>3.9</v>
      </c>
      <c r="F313" s="3">
        <v>4.056</v>
      </c>
      <c r="G313">
        <v>1.96</v>
      </c>
      <c r="H313" s="3">
        <v>7.6440000000000001</v>
      </c>
      <c r="I313">
        <v>49</v>
      </c>
      <c r="J313">
        <v>2</v>
      </c>
      <c r="K313">
        <v>7</v>
      </c>
      <c r="L313" s="13">
        <f>(Table2[[#This Row],[STARTING INVENTORY]]-Table2[[#This Row],[ENDING INVENTORY]])/(Table2[[#This Row],[STARTING INVENTORY]])</f>
        <v>0.8571428571428571</v>
      </c>
      <c r="M313">
        <f>Table2[[#This Row],[STARTING INVENTORY]]-Table2[[#This Row],[ENDING INVENTORY]]</f>
        <v>42</v>
      </c>
    </row>
    <row r="314" spans="1:13">
      <c r="A314" t="s">
        <v>7</v>
      </c>
      <c r="B314" t="s">
        <v>164</v>
      </c>
      <c r="C314" t="s">
        <v>104</v>
      </c>
      <c r="D314" t="s">
        <v>29</v>
      </c>
      <c r="E314" s="3">
        <v>4.3</v>
      </c>
      <c r="F314" s="3">
        <v>4.4719999999999995</v>
      </c>
      <c r="G314">
        <v>2.06</v>
      </c>
      <c r="H314" s="3">
        <v>8.8580000000000005</v>
      </c>
      <c r="I314">
        <v>37</v>
      </c>
      <c r="J314">
        <v>3</v>
      </c>
      <c r="K314">
        <v>22</v>
      </c>
      <c r="L314" s="13">
        <f>(Table2[[#This Row],[STARTING INVENTORY]]-Table2[[#This Row],[ENDING INVENTORY]])/(Table2[[#This Row],[STARTING INVENTORY]])</f>
        <v>0.40540540540540543</v>
      </c>
      <c r="M314">
        <f>Table2[[#This Row],[STARTING INVENTORY]]-Table2[[#This Row],[ENDING INVENTORY]]</f>
        <v>15</v>
      </c>
    </row>
    <row r="315" spans="1:13">
      <c r="A315" t="s">
        <v>7</v>
      </c>
      <c r="B315" t="s">
        <v>164</v>
      </c>
      <c r="C315" t="s">
        <v>110</v>
      </c>
      <c r="D315" t="s">
        <v>29</v>
      </c>
      <c r="E315" s="3">
        <v>4</v>
      </c>
      <c r="F315" s="3">
        <v>4.16</v>
      </c>
      <c r="G315">
        <v>2.09</v>
      </c>
      <c r="H315" s="3">
        <v>8.36</v>
      </c>
      <c r="I315">
        <v>36</v>
      </c>
      <c r="J315">
        <v>2</v>
      </c>
      <c r="K315">
        <v>11</v>
      </c>
      <c r="L315" s="13">
        <f>(Table2[[#This Row],[STARTING INVENTORY]]-Table2[[#This Row],[ENDING INVENTORY]])/(Table2[[#This Row],[STARTING INVENTORY]])</f>
        <v>0.69444444444444442</v>
      </c>
      <c r="M315">
        <f>Table2[[#This Row],[STARTING INVENTORY]]-Table2[[#This Row],[ENDING INVENTORY]]</f>
        <v>25</v>
      </c>
    </row>
    <row r="316" spans="1:13">
      <c r="A316" t="s">
        <v>7</v>
      </c>
      <c r="B316" t="s">
        <v>164</v>
      </c>
      <c r="C316" t="s">
        <v>116</v>
      </c>
      <c r="D316" t="s">
        <v>29</v>
      </c>
      <c r="E316" s="3">
        <v>4.75</v>
      </c>
      <c r="F316" s="3">
        <v>4.9400000000000004</v>
      </c>
      <c r="G316">
        <v>1.99</v>
      </c>
      <c r="H316" s="3">
        <v>9.4525000000000006</v>
      </c>
      <c r="I316">
        <v>96</v>
      </c>
      <c r="J316">
        <v>6</v>
      </c>
      <c r="K316">
        <v>53</v>
      </c>
      <c r="L316" s="13">
        <f>(Table2[[#This Row],[STARTING INVENTORY]]-Table2[[#This Row],[ENDING INVENTORY]])/(Table2[[#This Row],[STARTING INVENTORY]])</f>
        <v>0.44791666666666669</v>
      </c>
      <c r="M316">
        <f>Table2[[#This Row],[STARTING INVENTORY]]-Table2[[#This Row],[ENDING INVENTORY]]</f>
        <v>43</v>
      </c>
    </row>
    <row r="317" spans="1:13">
      <c r="A317" t="s">
        <v>7</v>
      </c>
      <c r="B317" t="s">
        <v>164</v>
      </c>
      <c r="C317" t="s">
        <v>122</v>
      </c>
      <c r="D317" t="s">
        <v>29</v>
      </c>
      <c r="E317" s="3">
        <v>2.25</v>
      </c>
      <c r="F317" s="3">
        <v>2.34</v>
      </c>
      <c r="G317">
        <v>1.99</v>
      </c>
      <c r="H317" s="3">
        <v>4.4775</v>
      </c>
      <c r="I317">
        <v>46</v>
      </c>
      <c r="J317">
        <v>4</v>
      </c>
      <c r="K317">
        <v>11</v>
      </c>
      <c r="L317" s="13">
        <f>(Table2[[#This Row],[STARTING INVENTORY]]-Table2[[#This Row],[ENDING INVENTORY]])/(Table2[[#This Row],[STARTING INVENTORY]])</f>
        <v>0.76086956521739135</v>
      </c>
      <c r="M317">
        <f>Table2[[#This Row],[STARTING INVENTORY]]-Table2[[#This Row],[ENDING INVENTORY]]</f>
        <v>35</v>
      </c>
    </row>
    <row r="318" spans="1:13">
      <c r="A318" t="s">
        <v>7</v>
      </c>
      <c r="B318" t="s">
        <v>164</v>
      </c>
      <c r="C318" t="s">
        <v>128</v>
      </c>
      <c r="D318" t="s">
        <v>29</v>
      </c>
      <c r="E318" s="3">
        <v>2.1</v>
      </c>
      <c r="F318" s="3">
        <v>2.1840000000000002</v>
      </c>
      <c r="G318">
        <v>2.0300000000000002</v>
      </c>
      <c r="H318" s="3">
        <v>4.2630000000000008</v>
      </c>
      <c r="I318">
        <v>62</v>
      </c>
      <c r="J318">
        <v>2</v>
      </c>
      <c r="K318">
        <v>45</v>
      </c>
      <c r="L318" s="13">
        <f>(Table2[[#This Row],[STARTING INVENTORY]]-Table2[[#This Row],[ENDING INVENTORY]])/(Table2[[#This Row],[STARTING INVENTORY]])</f>
        <v>0.27419354838709675</v>
      </c>
      <c r="M318">
        <f>Table2[[#This Row],[STARTING INVENTORY]]-Table2[[#This Row],[ENDING INVENTORY]]</f>
        <v>17</v>
      </c>
    </row>
    <row r="319" spans="1:13">
      <c r="A319" t="s">
        <v>7</v>
      </c>
      <c r="B319" t="s">
        <v>164</v>
      </c>
      <c r="C319" t="s">
        <v>134</v>
      </c>
      <c r="D319" t="s">
        <v>29</v>
      </c>
      <c r="E319" s="3">
        <v>2</v>
      </c>
      <c r="F319" s="3">
        <v>2.08</v>
      </c>
      <c r="G319">
        <v>2.06</v>
      </c>
      <c r="H319" s="3">
        <v>4.12</v>
      </c>
      <c r="I319">
        <v>77</v>
      </c>
      <c r="J319">
        <v>6</v>
      </c>
      <c r="K319">
        <v>46</v>
      </c>
      <c r="L319" s="13">
        <f>(Table2[[#This Row],[STARTING INVENTORY]]-Table2[[#This Row],[ENDING INVENTORY]])/(Table2[[#This Row],[STARTING INVENTORY]])</f>
        <v>0.40259740259740262</v>
      </c>
      <c r="M319">
        <f>Table2[[#This Row],[STARTING INVENTORY]]-Table2[[#This Row],[ENDING INVENTORY]]</f>
        <v>31</v>
      </c>
    </row>
    <row r="320" spans="1:13">
      <c r="A320" t="s">
        <v>7</v>
      </c>
      <c r="B320" t="s">
        <v>164</v>
      </c>
      <c r="C320" t="s">
        <v>140</v>
      </c>
      <c r="D320" t="s">
        <v>33</v>
      </c>
      <c r="E320" s="3">
        <v>4.5</v>
      </c>
      <c r="F320" s="3">
        <v>4.68</v>
      </c>
      <c r="G320">
        <v>2</v>
      </c>
      <c r="H320" s="3">
        <v>9</v>
      </c>
      <c r="I320">
        <v>105</v>
      </c>
      <c r="J320">
        <v>0</v>
      </c>
      <c r="K320">
        <v>14</v>
      </c>
      <c r="L320" s="13">
        <f>(Table2[[#This Row],[STARTING INVENTORY]]-Table2[[#This Row],[ENDING INVENTORY]])/(Table2[[#This Row],[STARTING INVENTORY]])</f>
        <v>0.8666666666666667</v>
      </c>
      <c r="M320">
        <f>Table2[[#This Row],[STARTING INVENTORY]]-Table2[[#This Row],[ENDING INVENTORY]]</f>
        <v>91</v>
      </c>
    </row>
    <row r="321" spans="1:13">
      <c r="A321" t="s">
        <v>7</v>
      </c>
      <c r="B321" t="s">
        <v>164</v>
      </c>
      <c r="C321" t="s">
        <v>146</v>
      </c>
      <c r="D321" t="s">
        <v>33</v>
      </c>
      <c r="E321" s="3">
        <v>3.75</v>
      </c>
      <c r="F321" s="3">
        <v>3.9000000000000004</v>
      </c>
      <c r="G321">
        <v>2.09</v>
      </c>
      <c r="H321" s="3">
        <v>7.8374999999999995</v>
      </c>
      <c r="I321">
        <v>88</v>
      </c>
      <c r="J321">
        <v>0</v>
      </c>
      <c r="K321">
        <v>18</v>
      </c>
      <c r="L321" s="13">
        <f>(Table2[[#This Row],[STARTING INVENTORY]]-Table2[[#This Row],[ENDING INVENTORY]])/(Table2[[#This Row],[STARTING INVENTORY]])</f>
        <v>0.79545454545454541</v>
      </c>
      <c r="M321">
        <f>Table2[[#This Row],[STARTING INVENTORY]]-Table2[[#This Row],[ENDING INVENTORY]]</f>
        <v>70</v>
      </c>
    </row>
    <row r="322" spans="1:13">
      <c r="A322" t="s">
        <v>7</v>
      </c>
      <c r="B322" t="s">
        <v>165</v>
      </c>
      <c r="C322" t="s">
        <v>35</v>
      </c>
      <c r="D322" t="s">
        <v>33</v>
      </c>
      <c r="E322" s="3">
        <v>2</v>
      </c>
      <c r="F322" s="3">
        <v>2.08</v>
      </c>
      <c r="G322">
        <v>1.96</v>
      </c>
      <c r="H322" s="3">
        <v>3.92</v>
      </c>
      <c r="I322">
        <v>174</v>
      </c>
      <c r="J322">
        <v>0</v>
      </c>
      <c r="K322">
        <v>25</v>
      </c>
      <c r="L322" s="13">
        <f>(Table2[[#This Row],[STARTING INVENTORY]]-Table2[[#This Row],[ENDING INVENTORY]])/(Table2[[#This Row],[STARTING INVENTORY]])</f>
        <v>0.85632183908045978</v>
      </c>
      <c r="M322">
        <f>Table2[[#This Row],[STARTING INVENTORY]]-Table2[[#This Row],[ENDING INVENTORY]]</f>
        <v>149</v>
      </c>
    </row>
    <row r="323" spans="1:13">
      <c r="A323" t="s">
        <v>7</v>
      </c>
      <c r="B323" t="s">
        <v>165</v>
      </c>
      <c r="C323" t="s">
        <v>41</v>
      </c>
      <c r="D323" t="s">
        <v>33</v>
      </c>
      <c r="E323" s="3">
        <v>1.95</v>
      </c>
      <c r="F323" s="3">
        <v>2.028</v>
      </c>
      <c r="G323">
        <v>2.0300000000000002</v>
      </c>
      <c r="H323" s="3">
        <v>3.9585000000000004</v>
      </c>
      <c r="I323">
        <v>145</v>
      </c>
      <c r="J323">
        <v>1</v>
      </c>
      <c r="K323">
        <v>51</v>
      </c>
      <c r="L323" s="13">
        <f>(Table2[[#This Row],[STARTING INVENTORY]]-Table2[[#This Row],[ENDING INVENTORY]])/(Table2[[#This Row],[STARTING INVENTORY]])</f>
        <v>0.64827586206896548</v>
      </c>
      <c r="M323">
        <f>Table2[[#This Row],[STARTING INVENTORY]]-Table2[[#This Row],[ENDING INVENTORY]]</f>
        <v>94</v>
      </c>
    </row>
    <row r="324" spans="1:13">
      <c r="A324" t="s">
        <v>7</v>
      </c>
      <c r="B324" t="s">
        <v>165</v>
      </c>
      <c r="C324" t="s">
        <v>47</v>
      </c>
      <c r="D324" t="s">
        <v>33</v>
      </c>
      <c r="E324" s="3">
        <v>1.9</v>
      </c>
      <c r="F324" s="3">
        <v>1.976</v>
      </c>
      <c r="G324">
        <v>2.06</v>
      </c>
      <c r="H324" s="3">
        <v>3.9139999999999997</v>
      </c>
      <c r="I324">
        <v>178</v>
      </c>
      <c r="J324">
        <v>0</v>
      </c>
      <c r="K324">
        <v>92</v>
      </c>
      <c r="L324" s="13">
        <f>(Table2[[#This Row],[STARTING INVENTORY]]-Table2[[#This Row],[ENDING INVENTORY]])/(Table2[[#This Row],[STARTING INVENTORY]])</f>
        <v>0.48314606741573035</v>
      </c>
      <c r="M324">
        <f>Table2[[#This Row],[STARTING INVENTORY]]-Table2[[#This Row],[ENDING INVENTORY]]</f>
        <v>86</v>
      </c>
    </row>
    <row r="325" spans="1:13">
      <c r="A325" t="s">
        <v>7</v>
      </c>
      <c r="B325" t="s">
        <v>165</v>
      </c>
      <c r="C325" t="s">
        <v>53</v>
      </c>
      <c r="D325" t="s">
        <v>33</v>
      </c>
      <c r="E325" s="3">
        <v>3.1</v>
      </c>
      <c r="F325" s="3">
        <v>3.2240000000000002</v>
      </c>
      <c r="G325">
        <v>2</v>
      </c>
      <c r="H325" s="3">
        <v>6.2</v>
      </c>
      <c r="I325">
        <v>81</v>
      </c>
      <c r="J325">
        <v>7</v>
      </c>
      <c r="K325">
        <v>21</v>
      </c>
      <c r="L325" s="13">
        <f>(Table2[[#This Row],[STARTING INVENTORY]]-Table2[[#This Row],[ENDING INVENTORY]])/(Table2[[#This Row],[STARTING INVENTORY]])</f>
        <v>0.7407407407407407</v>
      </c>
      <c r="M325">
        <f>Table2[[#This Row],[STARTING INVENTORY]]-Table2[[#This Row],[ENDING INVENTORY]]</f>
        <v>60</v>
      </c>
    </row>
    <row r="326" spans="1:13">
      <c r="A326" t="s">
        <v>7</v>
      </c>
      <c r="B326" t="s">
        <v>165</v>
      </c>
      <c r="C326" t="s">
        <v>59</v>
      </c>
      <c r="D326" t="s">
        <v>33</v>
      </c>
      <c r="E326" s="3">
        <v>2</v>
      </c>
      <c r="F326" s="3">
        <v>2.08</v>
      </c>
      <c r="G326">
        <v>2.0700000000000003</v>
      </c>
      <c r="H326" s="3">
        <v>4.1400000000000006</v>
      </c>
      <c r="I326">
        <v>169</v>
      </c>
      <c r="J326">
        <v>0</v>
      </c>
      <c r="K326">
        <v>20</v>
      </c>
      <c r="L326" s="13">
        <f>(Table2[[#This Row],[STARTING INVENTORY]]-Table2[[#This Row],[ENDING INVENTORY]])/(Table2[[#This Row],[STARTING INVENTORY]])</f>
        <v>0.88165680473372776</v>
      </c>
      <c r="M326">
        <f>Table2[[#This Row],[STARTING INVENTORY]]-Table2[[#This Row],[ENDING INVENTORY]]</f>
        <v>149</v>
      </c>
    </row>
    <row r="327" spans="1:13">
      <c r="A327" t="s">
        <v>7</v>
      </c>
      <c r="B327" t="s">
        <v>165</v>
      </c>
      <c r="C327" t="s">
        <v>65</v>
      </c>
      <c r="D327" t="s">
        <v>33</v>
      </c>
      <c r="E327" s="3">
        <v>1.7</v>
      </c>
      <c r="F327" s="3">
        <v>1.768</v>
      </c>
      <c r="G327">
        <v>2.06</v>
      </c>
      <c r="H327" s="3">
        <v>3.5019999999999998</v>
      </c>
      <c r="I327">
        <v>89</v>
      </c>
      <c r="J327">
        <v>3</v>
      </c>
      <c r="K327">
        <v>50</v>
      </c>
      <c r="L327" s="13">
        <f>(Table2[[#This Row],[STARTING INVENTORY]]-Table2[[#This Row],[ENDING INVENTORY]])/(Table2[[#This Row],[STARTING INVENTORY]])</f>
        <v>0.43820224719101125</v>
      </c>
      <c r="M327">
        <f>Table2[[#This Row],[STARTING INVENTORY]]-Table2[[#This Row],[ENDING INVENTORY]]</f>
        <v>39</v>
      </c>
    </row>
    <row r="328" spans="1:13">
      <c r="A328" t="s">
        <v>7</v>
      </c>
      <c r="B328" t="s">
        <v>165</v>
      </c>
      <c r="C328" t="s">
        <v>71</v>
      </c>
      <c r="D328" t="s">
        <v>33</v>
      </c>
      <c r="E328" s="3">
        <v>1.5</v>
      </c>
      <c r="F328" s="3">
        <v>1.56</v>
      </c>
      <c r="G328">
        <v>2.0099999999999998</v>
      </c>
      <c r="H328" s="3">
        <v>3.0149999999999997</v>
      </c>
      <c r="I328">
        <v>97</v>
      </c>
      <c r="J328">
        <v>0</v>
      </c>
      <c r="K328">
        <v>37</v>
      </c>
      <c r="L328" s="13">
        <f>(Table2[[#This Row],[STARTING INVENTORY]]-Table2[[#This Row],[ENDING INVENTORY]])/(Table2[[#This Row],[STARTING INVENTORY]])</f>
        <v>0.61855670103092786</v>
      </c>
      <c r="M328">
        <f>Table2[[#This Row],[STARTING INVENTORY]]-Table2[[#This Row],[ENDING INVENTORY]]</f>
        <v>60</v>
      </c>
    </row>
    <row r="329" spans="1:13">
      <c r="A329" t="s">
        <v>7</v>
      </c>
      <c r="B329" t="s">
        <v>165</v>
      </c>
      <c r="C329" t="s">
        <v>77</v>
      </c>
      <c r="D329" t="s">
        <v>33</v>
      </c>
      <c r="E329" s="3">
        <v>2.65</v>
      </c>
      <c r="F329" s="3">
        <v>2.7559999999999998</v>
      </c>
      <c r="G329">
        <v>2</v>
      </c>
      <c r="H329" s="3">
        <v>5.3</v>
      </c>
      <c r="I329">
        <v>161</v>
      </c>
      <c r="J329">
        <v>6</v>
      </c>
      <c r="K329">
        <v>19</v>
      </c>
      <c r="L329" s="13">
        <f>(Table2[[#This Row],[STARTING INVENTORY]]-Table2[[#This Row],[ENDING INVENTORY]])/(Table2[[#This Row],[STARTING INVENTORY]])</f>
        <v>0.88198757763975155</v>
      </c>
      <c r="M329">
        <f>Table2[[#This Row],[STARTING INVENTORY]]-Table2[[#This Row],[ENDING INVENTORY]]</f>
        <v>142</v>
      </c>
    </row>
    <row r="330" spans="1:13">
      <c r="A330" t="s">
        <v>7</v>
      </c>
      <c r="B330" t="s">
        <v>165</v>
      </c>
      <c r="C330" t="s">
        <v>83</v>
      </c>
      <c r="D330" t="s">
        <v>33</v>
      </c>
      <c r="E330" s="3">
        <v>1.2</v>
      </c>
      <c r="F330" s="3">
        <v>1.248</v>
      </c>
      <c r="G330">
        <v>2.0300000000000002</v>
      </c>
      <c r="H330" s="3">
        <v>2.4360000000000004</v>
      </c>
      <c r="I330">
        <v>168</v>
      </c>
      <c r="J330">
        <v>8</v>
      </c>
      <c r="K330">
        <v>156</v>
      </c>
      <c r="L330" s="13">
        <f>(Table2[[#This Row],[STARTING INVENTORY]]-Table2[[#This Row],[ENDING INVENTORY]])/(Table2[[#This Row],[STARTING INVENTORY]])</f>
        <v>7.1428571428571425E-2</v>
      </c>
      <c r="M330">
        <f>Table2[[#This Row],[STARTING INVENTORY]]-Table2[[#This Row],[ENDING INVENTORY]]</f>
        <v>12</v>
      </c>
    </row>
    <row r="331" spans="1:13">
      <c r="A331" t="s">
        <v>7</v>
      </c>
      <c r="B331" t="s">
        <v>165</v>
      </c>
      <c r="C331" t="s">
        <v>89</v>
      </c>
      <c r="D331" t="s">
        <v>33</v>
      </c>
      <c r="E331" s="3">
        <v>1.4</v>
      </c>
      <c r="F331" s="3">
        <v>1.456</v>
      </c>
      <c r="G331">
        <v>2.0300000000000002</v>
      </c>
      <c r="H331" s="3">
        <v>2.8420000000000001</v>
      </c>
      <c r="I331">
        <v>110</v>
      </c>
      <c r="J331">
        <v>2</v>
      </c>
      <c r="K331">
        <v>50</v>
      </c>
      <c r="L331" s="13">
        <f>(Table2[[#This Row],[STARTING INVENTORY]]-Table2[[#This Row],[ENDING INVENTORY]])/(Table2[[#This Row],[STARTING INVENTORY]])</f>
        <v>0.54545454545454541</v>
      </c>
      <c r="M331">
        <f>Table2[[#This Row],[STARTING INVENTORY]]-Table2[[#This Row],[ENDING INVENTORY]]</f>
        <v>60</v>
      </c>
    </row>
    <row r="332" spans="1:13">
      <c r="A332" t="s">
        <v>7</v>
      </c>
      <c r="B332" t="s">
        <v>165</v>
      </c>
      <c r="C332" t="s">
        <v>95</v>
      </c>
      <c r="D332" t="s">
        <v>33</v>
      </c>
      <c r="E332" s="3">
        <v>1.6</v>
      </c>
      <c r="F332" s="3">
        <v>1.6640000000000001</v>
      </c>
      <c r="G332">
        <v>2.0499999999999998</v>
      </c>
      <c r="H332" s="3">
        <v>3.28</v>
      </c>
      <c r="I332">
        <v>113</v>
      </c>
      <c r="J332">
        <v>6</v>
      </c>
      <c r="K332">
        <v>3</v>
      </c>
      <c r="L332" s="13">
        <f>(Table2[[#This Row],[STARTING INVENTORY]]-Table2[[#This Row],[ENDING INVENTORY]])/(Table2[[#This Row],[STARTING INVENTORY]])</f>
        <v>0.97345132743362828</v>
      </c>
      <c r="M332">
        <f>Table2[[#This Row],[STARTING INVENTORY]]-Table2[[#This Row],[ENDING INVENTORY]]</f>
        <v>110</v>
      </c>
    </row>
    <row r="333" spans="1:13">
      <c r="A333" t="s">
        <v>7</v>
      </c>
      <c r="B333" t="s">
        <v>165</v>
      </c>
      <c r="C333" t="s">
        <v>101</v>
      </c>
      <c r="D333" t="s">
        <v>33</v>
      </c>
      <c r="E333" s="3">
        <v>0.7</v>
      </c>
      <c r="F333" s="3">
        <v>0.72799999999999998</v>
      </c>
      <c r="G333">
        <v>2.06</v>
      </c>
      <c r="H333" s="3">
        <v>1.4419999999999999</v>
      </c>
      <c r="I333">
        <v>67</v>
      </c>
      <c r="J333">
        <v>0</v>
      </c>
      <c r="K333">
        <v>54</v>
      </c>
      <c r="L333" s="13">
        <f>(Table2[[#This Row],[STARTING INVENTORY]]-Table2[[#This Row],[ENDING INVENTORY]])/(Table2[[#This Row],[STARTING INVENTORY]])</f>
        <v>0.19402985074626866</v>
      </c>
      <c r="M333">
        <f>Table2[[#This Row],[STARTING INVENTORY]]-Table2[[#This Row],[ENDING INVENTORY]]</f>
        <v>13</v>
      </c>
    </row>
    <row r="334" spans="1:13">
      <c r="A334" t="s">
        <v>7</v>
      </c>
      <c r="B334" t="s">
        <v>165</v>
      </c>
      <c r="C334" t="s">
        <v>107</v>
      </c>
      <c r="D334" t="s">
        <v>33</v>
      </c>
      <c r="E334" s="3">
        <v>0.55000000000000004</v>
      </c>
      <c r="F334" s="3">
        <v>0.57200000000000006</v>
      </c>
      <c r="G334">
        <v>2.09</v>
      </c>
      <c r="H334" s="3">
        <v>1.1495</v>
      </c>
      <c r="I334">
        <v>86</v>
      </c>
      <c r="J334">
        <v>5</v>
      </c>
      <c r="K334">
        <v>70</v>
      </c>
      <c r="L334" s="13">
        <f>(Table2[[#This Row],[STARTING INVENTORY]]-Table2[[#This Row],[ENDING INVENTORY]])/(Table2[[#This Row],[STARTING INVENTORY]])</f>
        <v>0.18604651162790697</v>
      </c>
      <c r="M334">
        <f>Table2[[#This Row],[STARTING INVENTORY]]-Table2[[#This Row],[ENDING INVENTORY]]</f>
        <v>16</v>
      </c>
    </row>
    <row r="335" spans="1:13">
      <c r="A335" t="s">
        <v>7</v>
      </c>
      <c r="B335" t="s">
        <v>165</v>
      </c>
      <c r="C335" t="s">
        <v>113</v>
      </c>
      <c r="D335" t="s">
        <v>33</v>
      </c>
      <c r="E335" s="3">
        <v>1.4</v>
      </c>
      <c r="F335" s="3">
        <v>1.456</v>
      </c>
      <c r="G335">
        <v>2.1</v>
      </c>
      <c r="H335" s="3">
        <v>2.94</v>
      </c>
      <c r="I335">
        <v>86</v>
      </c>
      <c r="J335">
        <v>0</v>
      </c>
      <c r="K335">
        <v>27</v>
      </c>
      <c r="L335" s="13">
        <f>(Table2[[#This Row],[STARTING INVENTORY]]-Table2[[#This Row],[ENDING INVENTORY]])/(Table2[[#This Row],[STARTING INVENTORY]])</f>
        <v>0.68604651162790697</v>
      </c>
      <c r="M335">
        <f>Table2[[#This Row],[STARTING INVENTORY]]-Table2[[#This Row],[ENDING INVENTORY]]</f>
        <v>59</v>
      </c>
    </row>
    <row r="336" spans="1:13">
      <c r="A336" t="s">
        <v>7</v>
      </c>
      <c r="B336" t="s">
        <v>165</v>
      </c>
      <c r="C336" t="s">
        <v>119</v>
      </c>
      <c r="D336" t="s">
        <v>33</v>
      </c>
      <c r="E336" s="3">
        <v>2</v>
      </c>
      <c r="F336" s="3">
        <v>2.08</v>
      </c>
      <c r="G336">
        <v>2.08</v>
      </c>
      <c r="H336" s="3">
        <v>4.16</v>
      </c>
      <c r="I336">
        <v>157</v>
      </c>
      <c r="J336">
        <v>7</v>
      </c>
      <c r="K336">
        <v>3</v>
      </c>
      <c r="L336" s="13">
        <f>(Table2[[#This Row],[STARTING INVENTORY]]-Table2[[#This Row],[ENDING INVENTORY]])/(Table2[[#This Row],[STARTING INVENTORY]])</f>
        <v>0.98089171974522293</v>
      </c>
      <c r="M336">
        <f>Table2[[#This Row],[STARTING INVENTORY]]-Table2[[#This Row],[ENDING INVENTORY]]</f>
        <v>154</v>
      </c>
    </row>
    <row r="337" spans="1:13">
      <c r="A337" t="s">
        <v>7</v>
      </c>
      <c r="B337" t="s">
        <v>165</v>
      </c>
      <c r="C337" t="s">
        <v>125</v>
      </c>
      <c r="D337" t="s">
        <v>33</v>
      </c>
      <c r="E337" s="3">
        <v>2.25</v>
      </c>
      <c r="F337" s="3">
        <v>2.34</v>
      </c>
      <c r="G337">
        <v>2.0300000000000002</v>
      </c>
      <c r="H337" s="3">
        <v>4.5675000000000008</v>
      </c>
      <c r="I337">
        <v>80</v>
      </c>
      <c r="J337">
        <v>0</v>
      </c>
      <c r="K337">
        <v>21</v>
      </c>
      <c r="L337" s="13">
        <f>(Table2[[#This Row],[STARTING INVENTORY]]-Table2[[#This Row],[ENDING INVENTORY]])/(Table2[[#This Row],[STARTING INVENTORY]])</f>
        <v>0.73750000000000004</v>
      </c>
      <c r="M337">
        <f>Table2[[#This Row],[STARTING INVENTORY]]-Table2[[#This Row],[ENDING INVENTORY]]</f>
        <v>59</v>
      </c>
    </row>
    <row r="338" spans="1:13">
      <c r="A338" t="s">
        <v>7</v>
      </c>
      <c r="B338" t="s">
        <v>165</v>
      </c>
      <c r="C338" t="s">
        <v>131</v>
      </c>
      <c r="D338" t="s">
        <v>33</v>
      </c>
      <c r="E338" s="3">
        <v>3.4</v>
      </c>
      <c r="F338" s="3">
        <v>3.536</v>
      </c>
      <c r="G338">
        <v>2.04</v>
      </c>
      <c r="H338" s="3">
        <v>6.9359999999999999</v>
      </c>
      <c r="I338">
        <v>89</v>
      </c>
      <c r="J338">
        <v>2</v>
      </c>
      <c r="K338">
        <v>75</v>
      </c>
      <c r="L338" s="13">
        <f>(Table2[[#This Row],[STARTING INVENTORY]]-Table2[[#This Row],[ENDING INVENTORY]])/(Table2[[#This Row],[STARTING INVENTORY]])</f>
        <v>0.15730337078651685</v>
      </c>
      <c r="M338">
        <f>Table2[[#This Row],[STARTING INVENTORY]]-Table2[[#This Row],[ENDING INVENTORY]]</f>
        <v>14</v>
      </c>
    </row>
    <row r="339" spans="1:13">
      <c r="A339" t="s">
        <v>7</v>
      </c>
      <c r="B339" t="s">
        <v>165</v>
      </c>
      <c r="C339" t="s">
        <v>137</v>
      </c>
      <c r="D339" t="s">
        <v>33</v>
      </c>
      <c r="E339" s="3">
        <v>3.1</v>
      </c>
      <c r="F339" s="3">
        <v>3.2240000000000002</v>
      </c>
      <c r="G339">
        <v>2.0300000000000002</v>
      </c>
      <c r="H339" s="3">
        <v>6.293000000000001</v>
      </c>
      <c r="I339">
        <v>156</v>
      </c>
      <c r="J339">
        <v>4</v>
      </c>
      <c r="K339">
        <v>66</v>
      </c>
      <c r="L339" s="13">
        <f>(Table2[[#This Row],[STARTING INVENTORY]]-Table2[[#This Row],[ENDING INVENTORY]])/(Table2[[#This Row],[STARTING INVENTORY]])</f>
        <v>0.57692307692307687</v>
      </c>
      <c r="M339">
        <f>Table2[[#This Row],[STARTING INVENTORY]]-Table2[[#This Row],[ENDING INVENTORY]]</f>
        <v>90</v>
      </c>
    </row>
    <row r="340" spans="1:13">
      <c r="A340" t="s">
        <v>7</v>
      </c>
      <c r="B340" t="s">
        <v>165</v>
      </c>
      <c r="C340" t="s">
        <v>143</v>
      </c>
      <c r="D340" t="s">
        <v>33</v>
      </c>
      <c r="E340" s="3">
        <v>1.5</v>
      </c>
      <c r="F340" s="3">
        <v>1.56</v>
      </c>
      <c r="G340">
        <v>2.0099999999999998</v>
      </c>
      <c r="H340" s="3">
        <v>3.0149999999999997</v>
      </c>
      <c r="I340">
        <v>87</v>
      </c>
      <c r="J340">
        <v>1</v>
      </c>
      <c r="K340">
        <v>85</v>
      </c>
      <c r="L340" s="13">
        <f>(Table2[[#This Row],[STARTING INVENTORY]]-Table2[[#This Row],[ENDING INVENTORY]])/(Table2[[#This Row],[STARTING INVENTORY]])</f>
        <v>2.2988505747126436E-2</v>
      </c>
      <c r="M340">
        <f>Table2[[#This Row],[STARTING INVENTORY]]-Table2[[#This Row],[ENDING INVENTORY]]</f>
        <v>2</v>
      </c>
    </row>
    <row r="341" spans="1:13">
      <c r="A341" t="s">
        <v>7</v>
      </c>
      <c r="B341" t="s">
        <v>165</v>
      </c>
      <c r="C341" t="s">
        <v>149</v>
      </c>
      <c r="D341" t="s">
        <v>33</v>
      </c>
      <c r="E341" s="3">
        <v>1.9</v>
      </c>
      <c r="F341" s="3">
        <v>1.976</v>
      </c>
      <c r="G341">
        <v>2.0499999999999998</v>
      </c>
      <c r="H341" s="3">
        <v>3.8949999999999996</v>
      </c>
      <c r="I341">
        <v>170</v>
      </c>
      <c r="J341">
        <v>0</v>
      </c>
      <c r="K341">
        <v>161</v>
      </c>
      <c r="L341" s="13">
        <f>(Table2[[#This Row],[STARTING INVENTORY]]-Table2[[#This Row],[ENDING INVENTORY]])/(Table2[[#This Row],[STARTING INVENTORY]])</f>
        <v>5.2941176470588235E-2</v>
      </c>
      <c r="M341">
        <f>Table2[[#This Row],[STARTING INVENTORY]]-Table2[[#This Row],[ENDING INVENTORY]]</f>
        <v>9</v>
      </c>
    </row>
    <row r="342" spans="1:13">
      <c r="A342" t="s">
        <v>7</v>
      </c>
      <c r="B342" t="s">
        <v>166</v>
      </c>
      <c r="C342" t="s">
        <v>34</v>
      </c>
      <c r="D342" t="s">
        <v>33</v>
      </c>
      <c r="E342" s="3">
        <v>1.3</v>
      </c>
      <c r="F342" s="3">
        <v>1.3520000000000001</v>
      </c>
      <c r="G342">
        <v>2.04</v>
      </c>
      <c r="H342" s="3">
        <v>2.6520000000000001</v>
      </c>
      <c r="I342">
        <v>103</v>
      </c>
      <c r="J342">
        <v>0</v>
      </c>
      <c r="K342">
        <v>90</v>
      </c>
      <c r="L342" s="13">
        <f>(Table2[[#This Row],[STARTING INVENTORY]]-Table2[[#This Row],[ENDING INVENTORY]])/(Table2[[#This Row],[STARTING INVENTORY]])</f>
        <v>0.12621359223300971</v>
      </c>
      <c r="M342">
        <f>Table2[[#This Row],[STARTING INVENTORY]]-Table2[[#This Row],[ENDING INVENTORY]]</f>
        <v>13</v>
      </c>
    </row>
    <row r="343" spans="1:13">
      <c r="A343" t="s">
        <v>7</v>
      </c>
      <c r="B343" t="s">
        <v>166</v>
      </c>
      <c r="C343" t="s">
        <v>40</v>
      </c>
      <c r="D343" t="s">
        <v>33</v>
      </c>
      <c r="E343" s="3">
        <v>1.6</v>
      </c>
      <c r="F343" s="3">
        <v>1.6640000000000001</v>
      </c>
      <c r="G343">
        <v>2.06</v>
      </c>
      <c r="H343" s="3">
        <v>3.2960000000000003</v>
      </c>
      <c r="I343">
        <v>136</v>
      </c>
      <c r="J343">
        <v>1</v>
      </c>
      <c r="K343">
        <v>104</v>
      </c>
      <c r="L343" s="13">
        <f>(Table2[[#This Row],[STARTING INVENTORY]]-Table2[[#This Row],[ENDING INVENTORY]])/(Table2[[#This Row],[STARTING INVENTORY]])</f>
        <v>0.23529411764705882</v>
      </c>
      <c r="M343">
        <f>Table2[[#This Row],[STARTING INVENTORY]]-Table2[[#This Row],[ENDING INVENTORY]]</f>
        <v>32</v>
      </c>
    </row>
    <row r="344" spans="1:13">
      <c r="A344" t="s">
        <v>7</v>
      </c>
      <c r="B344" t="s">
        <v>166</v>
      </c>
      <c r="C344" t="s">
        <v>46</v>
      </c>
      <c r="D344" t="s">
        <v>33</v>
      </c>
      <c r="E344" s="3">
        <v>1.35</v>
      </c>
      <c r="F344" s="3">
        <v>1.4040000000000001</v>
      </c>
      <c r="G344">
        <v>1.97</v>
      </c>
      <c r="H344" s="3">
        <v>2.6595</v>
      </c>
      <c r="I344">
        <v>108</v>
      </c>
      <c r="J344">
        <v>2</v>
      </c>
      <c r="K344">
        <v>0</v>
      </c>
      <c r="L344" s="13">
        <f>(Table2[[#This Row],[STARTING INVENTORY]]-Table2[[#This Row],[ENDING INVENTORY]])/(Table2[[#This Row],[STARTING INVENTORY]])</f>
        <v>1</v>
      </c>
      <c r="M344">
        <f>Table2[[#This Row],[STARTING INVENTORY]]-Table2[[#This Row],[ENDING INVENTORY]]</f>
        <v>108</v>
      </c>
    </row>
    <row r="345" spans="1:13">
      <c r="A345" t="s">
        <v>7</v>
      </c>
      <c r="B345" t="s">
        <v>166</v>
      </c>
      <c r="C345" t="s">
        <v>52</v>
      </c>
      <c r="D345" t="s">
        <v>33</v>
      </c>
      <c r="E345" s="3">
        <v>1.6</v>
      </c>
      <c r="F345" s="3">
        <v>1.6640000000000001</v>
      </c>
      <c r="G345">
        <v>2.0300000000000002</v>
      </c>
      <c r="H345" s="3">
        <v>3.2480000000000007</v>
      </c>
      <c r="I345">
        <v>100</v>
      </c>
      <c r="J345">
        <v>0</v>
      </c>
      <c r="K345">
        <v>71</v>
      </c>
      <c r="L345" s="13">
        <f>(Table2[[#This Row],[STARTING INVENTORY]]-Table2[[#This Row],[ENDING INVENTORY]])/(Table2[[#This Row],[STARTING INVENTORY]])</f>
        <v>0.28999999999999998</v>
      </c>
      <c r="M345">
        <f>Table2[[#This Row],[STARTING INVENTORY]]-Table2[[#This Row],[ENDING INVENTORY]]</f>
        <v>29</v>
      </c>
    </row>
    <row r="346" spans="1:13">
      <c r="A346" t="s">
        <v>7</v>
      </c>
      <c r="B346" t="s">
        <v>166</v>
      </c>
      <c r="C346" t="s">
        <v>58</v>
      </c>
      <c r="D346" t="s">
        <v>33</v>
      </c>
      <c r="E346" s="3">
        <v>2.1</v>
      </c>
      <c r="F346" s="3">
        <v>2.1840000000000002</v>
      </c>
      <c r="G346">
        <v>2.04</v>
      </c>
      <c r="H346" s="3">
        <v>4.2840000000000007</v>
      </c>
      <c r="I346">
        <v>87</v>
      </c>
      <c r="J346">
        <v>1</v>
      </c>
      <c r="K346">
        <v>86</v>
      </c>
      <c r="L346" s="13">
        <f>(Table2[[#This Row],[STARTING INVENTORY]]-Table2[[#This Row],[ENDING INVENTORY]])/(Table2[[#This Row],[STARTING INVENTORY]])</f>
        <v>1.1494252873563218E-2</v>
      </c>
      <c r="M346">
        <f>Table2[[#This Row],[STARTING INVENTORY]]-Table2[[#This Row],[ENDING INVENTORY]]</f>
        <v>1</v>
      </c>
    </row>
    <row r="347" spans="1:13">
      <c r="A347" t="s">
        <v>7</v>
      </c>
      <c r="B347" t="s">
        <v>166</v>
      </c>
      <c r="C347" t="s">
        <v>64</v>
      </c>
      <c r="D347" t="s">
        <v>33</v>
      </c>
      <c r="E347" s="3">
        <v>1.85</v>
      </c>
      <c r="F347" s="3">
        <v>1.9240000000000002</v>
      </c>
      <c r="G347">
        <v>2.0700000000000003</v>
      </c>
      <c r="H347" s="3">
        <v>3.8295000000000008</v>
      </c>
      <c r="I347">
        <v>58</v>
      </c>
      <c r="J347">
        <v>0</v>
      </c>
      <c r="K347">
        <v>37</v>
      </c>
      <c r="L347" s="13">
        <f>(Table2[[#This Row],[STARTING INVENTORY]]-Table2[[#This Row],[ENDING INVENTORY]])/(Table2[[#This Row],[STARTING INVENTORY]])</f>
        <v>0.36206896551724138</v>
      </c>
      <c r="M347">
        <f>Table2[[#This Row],[STARTING INVENTORY]]-Table2[[#This Row],[ENDING INVENTORY]]</f>
        <v>21</v>
      </c>
    </row>
    <row r="348" spans="1:13">
      <c r="A348" t="s">
        <v>7</v>
      </c>
      <c r="B348" t="s">
        <v>166</v>
      </c>
      <c r="C348" t="s">
        <v>70</v>
      </c>
      <c r="D348" t="s">
        <v>33</v>
      </c>
      <c r="E348" s="3">
        <v>1.55</v>
      </c>
      <c r="F348" s="3">
        <v>1.6120000000000001</v>
      </c>
      <c r="G348">
        <v>2.0700000000000003</v>
      </c>
      <c r="H348" s="3">
        <v>3.2085000000000004</v>
      </c>
      <c r="I348">
        <v>43</v>
      </c>
      <c r="J348">
        <v>5</v>
      </c>
      <c r="K348">
        <v>5</v>
      </c>
      <c r="L348" s="13">
        <f>(Table2[[#This Row],[STARTING INVENTORY]]-Table2[[#This Row],[ENDING INVENTORY]])/(Table2[[#This Row],[STARTING INVENTORY]])</f>
        <v>0.88372093023255816</v>
      </c>
      <c r="M348">
        <f>Table2[[#This Row],[STARTING INVENTORY]]-Table2[[#This Row],[ENDING INVENTORY]]</f>
        <v>38</v>
      </c>
    </row>
    <row r="349" spans="1:13">
      <c r="A349" t="s">
        <v>7</v>
      </c>
      <c r="B349" t="s">
        <v>166</v>
      </c>
      <c r="C349" t="s">
        <v>76</v>
      </c>
      <c r="D349" t="s">
        <v>33</v>
      </c>
      <c r="E349" s="3">
        <v>1.55</v>
      </c>
      <c r="F349" s="3">
        <v>1.6120000000000001</v>
      </c>
      <c r="G349">
        <v>2</v>
      </c>
      <c r="H349" s="3">
        <v>3.1</v>
      </c>
      <c r="I349">
        <v>74</v>
      </c>
      <c r="J349">
        <v>0</v>
      </c>
      <c r="K349">
        <v>24</v>
      </c>
      <c r="L349" s="13">
        <f>(Table2[[#This Row],[STARTING INVENTORY]]-Table2[[#This Row],[ENDING INVENTORY]])/(Table2[[#This Row],[STARTING INVENTORY]])</f>
        <v>0.67567567567567566</v>
      </c>
      <c r="M349">
        <f>Table2[[#This Row],[STARTING INVENTORY]]-Table2[[#This Row],[ENDING INVENTORY]]</f>
        <v>50</v>
      </c>
    </row>
    <row r="350" spans="1:13">
      <c r="A350" t="s">
        <v>7</v>
      </c>
      <c r="B350" t="s">
        <v>166</v>
      </c>
      <c r="C350" t="s">
        <v>82</v>
      </c>
      <c r="D350" t="s">
        <v>33</v>
      </c>
      <c r="E350" s="3">
        <v>1.75</v>
      </c>
      <c r="F350" s="3">
        <v>1.82</v>
      </c>
      <c r="G350">
        <v>2.06</v>
      </c>
      <c r="H350" s="3">
        <v>3.605</v>
      </c>
      <c r="I350">
        <v>103</v>
      </c>
      <c r="J350">
        <v>1</v>
      </c>
      <c r="K350">
        <v>81</v>
      </c>
      <c r="L350" s="13">
        <f>(Table2[[#This Row],[STARTING INVENTORY]]-Table2[[#This Row],[ENDING INVENTORY]])/(Table2[[#This Row],[STARTING INVENTORY]])</f>
        <v>0.21359223300970873</v>
      </c>
      <c r="M350">
        <f>Table2[[#This Row],[STARTING INVENTORY]]-Table2[[#This Row],[ENDING INVENTORY]]</f>
        <v>22</v>
      </c>
    </row>
    <row r="351" spans="1:13">
      <c r="A351" t="s">
        <v>7</v>
      </c>
      <c r="B351" t="s">
        <v>166</v>
      </c>
      <c r="C351" t="s">
        <v>88</v>
      </c>
      <c r="D351" t="s">
        <v>33</v>
      </c>
      <c r="E351" s="3">
        <v>2.2000000000000002</v>
      </c>
      <c r="F351" s="3">
        <v>2.2880000000000003</v>
      </c>
      <c r="G351">
        <v>1.96</v>
      </c>
      <c r="H351" s="3">
        <v>4.3120000000000003</v>
      </c>
      <c r="I351">
        <v>88</v>
      </c>
      <c r="J351">
        <v>0</v>
      </c>
      <c r="K351">
        <v>16</v>
      </c>
      <c r="L351" s="13">
        <f>(Table2[[#This Row],[STARTING INVENTORY]]-Table2[[#This Row],[ENDING INVENTORY]])/(Table2[[#This Row],[STARTING INVENTORY]])</f>
        <v>0.81818181818181823</v>
      </c>
      <c r="M351">
        <f>Table2[[#This Row],[STARTING INVENTORY]]-Table2[[#This Row],[ENDING INVENTORY]]</f>
        <v>72</v>
      </c>
    </row>
    <row r="352" spans="1:13">
      <c r="A352" t="s">
        <v>7</v>
      </c>
      <c r="B352" t="s">
        <v>166</v>
      </c>
      <c r="C352" t="s">
        <v>94</v>
      </c>
      <c r="D352" t="s">
        <v>33</v>
      </c>
      <c r="E352" s="3">
        <v>2.75</v>
      </c>
      <c r="F352" s="3">
        <v>2.8600000000000003</v>
      </c>
      <c r="G352">
        <v>2.02</v>
      </c>
      <c r="H352" s="3">
        <v>5.5549999999999997</v>
      </c>
      <c r="I352">
        <v>56</v>
      </c>
      <c r="J352">
        <v>1</v>
      </c>
      <c r="K352">
        <v>11</v>
      </c>
      <c r="L352" s="13">
        <f>(Table2[[#This Row],[STARTING INVENTORY]]-Table2[[#This Row],[ENDING INVENTORY]])/(Table2[[#This Row],[STARTING INVENTORY]])</f>
        <v>0.8035714285714286</v>
      </c>
      <c r="M352">
        <f>Table2[[#This Row],[STARTING INVENTORY]]-Table2[[#This Row],[ENDING INVENTORY]]</f>
        <v>45</v>
      </c>
    </row>
    <row r="353" spans="1:13">
      <c r="A353" t="s">
        <v>7</v>
      </c>
      <c r="B353" t="s">
        <v>166</v>
      </c>
      <c r="C353" t="s">
        <v>100</v>
      </c>
      <c r="D353" t="s">
        <v>33</v>
      </c>
      <c r="E353" s="3">
        <v>2.4</v>
      </c>
      <c r="F353" s="3">
        <v>2.496</v>
      </c>
      <c r="G353">
        <v>2</v>
      </c>
      <c r="H353" s="3">
        <v>4.8</v>
      </c>
      <c r="I353">
        <v>83</v>
      </c>
      <c r="J353">
        <v>5</v>
      </c>
      <c r="K353">
        <v>5</v>
      </c>
      <c r="L353" s="13">
        <f>(Table2[[#This Row],[STARTING INVENTORY]]-Table2[[#This Row],[ENDING INVENTORY]])/(Table2[[#This Row],[STARTING INVENTORY]])</f>
        <v>0.93975903614457834</v>
      </c>
      <c r="M353">
        <f>Table2[[#This Row],[STARTING INVENTORY]]-Table2[[#This Row],[ENDING INVENTORY]]</f>
        <v>78</v>
      </c>
    </row>
    <row r="354" spans="1:13">
      <c r="A354" t="s">
        <v>7</v>
      </c>
      <c r="B354" t="s">
        <v>166</v>
      </c>
      <c r="C354" t="s">
        <v>106</v>
      </c>
      <c r="D354" t="s">
        <v>33</v>
      </c>
      <c r="E354" s="3">
        <v>2.7</v>
      </c>
      <c r="F354" s="3">
        <v>2.8080000000000003</v>
      </c>
      <c r="G354">
        <v>2.0300000000000002</v>
      </c>
      <c r="H354" s="3">
        <v>5.4810000000000008</v>
      </c>
      <c r="I354">
        <v>131</v>
      </c>
      <c r="J354">
        <v>1</v>
      </c>
      <c r="K354">
        <v>26</v>
      </c>
      <c r="L354" s="13">
        <f>(Table2[[#This Row],[STARTING INVENTORY]]-Table2[[#This Row],[ENDING INVENTORY]])/(Table2[[#This Row],[STARTING INVENTORY]])</f>
        <v>0.80152671755725191</v>
      </c>
      <c r="M354">
        <f>Table2[[#This Row],[STARTING INVENTORY]]-Table2[[#This Row],[ENDING INVENTORY]]</f>
        <v>105</v>
      </c>
    </row>
    <row r="355" spans="1:13">
      <c r="A355" t="s">
        <v>7</v>
      </c>
      <c r="B355" t="s">
        <v>166</v>
      </c>
      <c r="C355" t="s">
        <v>112</v>
      </c>
      <c r="D355" t="s">
        <v>33</v>
      </c>
      <c r="E355" s="3">
        <v>2.6</v>
      </c>
      <c r="F355" s="3">
        <v>2.7040000000000002</v>
      </c>
      <c r="G355">
        <v>2.0700000000000003</v>
      </c>
      <c r="H355" s="3">
        <v>5.3820000000000006</v>
      </c>
      <c r="I355">
        <v>69</v>
      </c>
      <c r="J355">
        <v>0</v>
      </c>
      <c r="K355">
        <v>7</v>
      </c>
      <c r="L355" s="13">
        <f>(Table2[[#This Row],[STARTING INVENTORY]]-Table2[[#This Row],[ENDING INVENTORY]])/(Table2[[#This Row],[STARTING INVENTORY]])</f>
        <v>0.89855072463768115</v>
      </c>
      <c r="M355">
        <f>Table2[[#This Row],[STARTING INVENTORY]]-Table2[[#This Row],[ENDING INVENTORY]]</f>
        <v>62</v>
      </c>
    </row>
    <row r="356" spans="1:13">
      <c r="A356" t="s">
        <v>7</v>
      </c>
      <c r="B356" t="s">
        <v>166</v>
      </c>
      <c r="C356" t="s">
        <v>118</v>
      </c>
      <c r="D356" t="s">
        <v>33</v>
      </c>
      <c r="E356" s="3">
        <v>4</v>
      </c>
      <c r="F356" s="3">
        <v>4.16</v>
      </c>
      <c r="G356">
        <v>2.04</v>
      </c>
      <c r="H356" s="3">
        <v>8.16</v>
      </c>
      <c r="I356">
        <v>132</v>
      </c>
      <c r="J356">
        <v>4</v>
      </c>
      <c r="K356">
        <v>123</v>
      </c>
      <c r="L356" s="13">
        <f>(Table2[[#This Row],[STARTING INVENTORY]]-Table2[[#This Row],[ENDING INVENTORY]])/(Table2[[#This Row],[STARTING INVENTORY]])</f>
        <v>6.8181818181818177E-2</v>
      </c>
      <c r="M356">
        <f>Table2[[#This Row],[STARTING INVENTORY]]-Table2[[#This Row],[ENDING INVENTORY]]</f>
        <v>9</v>
      </c>
    </row>
    <row r="357" spans="1:13">
      <c r="A357" t="s">
        <v>7</v>
      </c>
      <c r="B357" t="s">
        <v>166</v>
      </c>
      <c r="C357" t="s">
        <v>124</v>
      </c>
      <c r="D357" t="s">
        <v>33</v>
      </c>
      <c r="E357" s="3">
        <v>4.25</v>
      </c>
      <c r="F357" s="3">
        <v>4.42</v>
      </c>
      <c r="G357">
        <v>2.0499999999999998</v>
      </c>
      <c r="H357" s="3">
        <v>8.7124999999999986</v>
      </c>
      <c r="I357">
        <v>85</v>
      </c>
      <c r="J357">
        <v>5</v>
      </c>
      <c r="K357">
        <v>64</v>
      </c>
      <c r="L357" s="13">
        <f>(Table2[[#This Row],[STARTING INVENTORY]]-Table2[[#This Row],[ENDING INVENTORY]])/(Table2[[#This Row],[STARTING INVENTORY]])</f>
        <v>0.24705882352941178</v>
      </c>
      <c r="M357">
        <f>Table2[[#This Row],[STARTING INVENTORY]]-Table2[[#This Row],[ENDING INVENTORY]]</f>
        <v>21</v>
      </c>
    </row>
    <row r="358" spans="1:13">
      <c r="A358" t="s">
        <v>7</v>
      </c>
      <c r="B358" t="s">
        <v>166</v>
      </c>
      <c r="C358" t="s">
        <v>130</v>
      </c>
      <c r="D358" t="s">
        <v>33</v>
      </c>
      <c r="E358" s="3">
        <v>5</v>
      </c>
      <c r="F358" s="3">
        <v>5.2</v>
      </c>
      <c r="G358">
        <v>1.99</v>
      </c>
      <c r="H358" s="3">
        <v>9.9499999999999993</v>
      </c>
      <c r="I358">
        <v>45</v>
      </c>
      <c r="J358">
        <v>0</v>
      </c>
      <c r="K358">
        <v>28</v>
      </c>
      <c r="L358" s="13">
        <f>(Table2[[#This Row],[STARTING INVENTORY]]-Table2[[#This Row],[ENDING INVENTORY]])/(Table2[[#This Row],[STARTING INVENTORY]])</f>
        <v>0.37777777777777777</v>
      </c>
      <c r="M358">
        <f>Table2[[#This Row],[STARTING INVENTORY]]-Table2[[#This Row],[ENDING INVENTORY]]</f>
        <v>17</v>
      </c>
    </row>
    <row r="359" spans="1:13">
      <c r="A359" t="s">
        <v>7</v>
      </c>
      <c r="B359" t="s">
        <v>166</v>
      </c>
      <c r="C359" t="s">
        <v>136</v>
      </c>
      <c r="D359" t="s">
        <v>33</v>
      </c>
      <c r="E359" s="3">
        <v>3</v>
      </c>
      <c r="F359" s="3">
        <v>3.12</v>
      </c>
      <c r="G359">
        <v>2.02</v>
      </c>
      <c r="H359" s="3">
        <v>6.0600000000000005</v>
      </c>
      <c r="I359">
        <v>138</v>
      </c>
      <c r="J359">
        <v>4</v>
      </c>
      <c r="K359">
        <v>108</v>
      </c>
      <c r="L359" s="13">
        <f>(Table2[[#This Row],[STARTING INVENTORY]]-Table2[[#This Row],[ENDING INVENTORY]])/(Table2[[#This Row],[STARTING INVENTORY]])</f>
        <v>0.21739130434782608</v>
      </c>
      <c r="M359">
        <f>Table2[[#This Row],[STARTING INVENTORY]]-Table2[[#This Row],[ENDING INVENTORY]]</f>
        <v>30</v>
      </c>
    </row>
    <row r="360" spans="1:13">
      <c r="A360" t="s">
        <v>7</v>
      </c>
      <c r="B360" t="s">
        <v>166</v>
      </c>
      <c r="C360" t="s">
        <v>142</v>
      </c>
      <c r="D360" t="s">
        <v>33</v>
      </c>
      <c r="E360" s="3">
        <v>2.4</v>
      </c>
      <c r="F360" s="3">
        <v>2.496</v>
      </c>
      <c r="G360">
        <v>2</v>
      </c>
      <c r="H360" s="3">
        <v>4.8</v>
      </c>
      <c r="I360">
        <v>144</v>
      </c>
      <c r="J360">
        <v>8</v>
      </c>
      <c r="K360">
        <v>98</v>
      </c>
      <c r="L360" s="13">
        <f>(Table2[[#This Row],[STARTING INVENTORY]]-Table2[[#This Row],[ENDING INVENTORY]])/(Table2[[#This Row],[STARTING INVENTORY]])</f>
        <v>0.31944444444444442</v>
      </c>
      <c r="M360">
        <f>Table2[[#This Row],[STARTING INVENTORY]]-Table2[[#This Row],[ENDING INVENTORY]]</f>
        <v>46</v>
      </c>
    </row>
    <row r="361" spans="1:13">
      <c r="A361" t="s">
        <v>7</v>
      </c>
      <c r="B361" t="s">
        <v>166</v>
      </c>
      <c r="C361" t="s">
        <v>148</v>
      </c>
      <c r="D361" t="s">
        <v>33</v>
      </c>
      <c r="E361" s="3">
        <v>3.25</v>
      </c>
      <c r="F361" s="3">
        <v>3.38</v>
      </c>
      <c r="G361">
        <v>1.97</v>
      </c>
      <c r="H361" s="3">
        <v>6.4024999999999999</v>
      </c>
      <c r="I361">
        <v>76</v>
      </c>
      <c r="J361">
        <v>0</v>
      </c>
      <c r="K361">
        <v>39</v>
      </c>
      <c r="L361" s="13">
        <f>(Table2[[#This Row],[STARTING INVENTORY]]-Table2[[#This Row],[ENDING INVENTORY]])/(Table2[[#This Row],[STARTING INVENTORY]])</f>
        <v>0.48684210526315791</v>
      </c>
      <c r="M361">
        <f>Table2[[#This Row],[STARTING INVENTORY]]-Table2[[#This Row],[ENDING INVENTORY]]</f>
        <v>37</v>
      </c>
    </row>
    <row r="362" spans="1:13">
      <c r="A362" t="s">
        <v>8</v>
      </c>
      <c r="B362" t="s">
        <v>161</v>
      </c>
      <c r="C362" t="s">
        <v>28</v>
      </c>
      <c r="D362" t="s">
        <v>29</v>
      </c>
      <c r="E362" s="3">
        <v>0.35</v>
      </c>
      <c r="F362" s="3">
        <v>0.35699999999999998</v>
      </c>
      <c r="G362">
        <v>1.96</v>
      </c>
      <c r="H362" s="3">
        <v>0.68599999999999994</v>
      </c>
      <c r="I362">
        <v>73</v>
      </c>
      <c r="J362">
        <v>4</v>
      </c>
      <c r="K362">
        <v>13</v>
      </c>
      <c r="L362" s="13">
        <f>(Table2[[#This Row],[STARTING INVENTORY]]-Table2[[#This Row],[ENDING INVENTORY]])/(Table2[[#This Row],[STARTING INVENTORY]])</f>
        <v>0.82191780821917804</v>
      </c>
      <c r="M362">
        <f>Table2[[#This Row],[STARTING INVENTORY]]-Table2[[#This Row],[ENDING INVENTORY]]</f>
        <v>60</v>
      </c>
    </row>
    <row r="363" spans="1:13">
      <c r="A363" t="s">
        <v>8</v>
      </c>
      <c r="B363" t="s">
        <v>161</v>
      </c>
      <c r="C363" t="s">
        <v>36</v>
      </c>
      <c r="D363" t="s">
        <v>29</v>
      </c>
      <c r="E363" s="3">
        <v>0.85</v>
      </c>
      <c r="F363" s="3">
        <v>0.86699999999999999</v>
      </c>
      <c r="G363">
        <v>1.98</v>
      </c>
      <c r="H363" s="3">
        <v>1.6830000000000001</v>
      </c>
      <c r="I363">
        <v>142</v>
      </c>
      <c r="J363">
        <v>4</v>
      </c>
      <c r="K363">
        <v>34</v>
      </c>
      <c r="L363" s="13">
        <f>(Table2[[#This Row],[STARTING INVENTORY]]-Table2[[#This Row],[ENDING INVENTORY]])/(Table2[[#This Row],[STARTING INVENTORY]])</f>
        <v>0.76056338028169013</v>
      </c>
      <c r="M363">
        <f>Table2[[#This Row],[STARTING INVENTORY]]-Table2[[#This Row],[ENDING INVENTORY]]</f>
        <v>108</v>
      </c>
    </row>
    <row r="364" spans="1:13">
      <c r="A364" t="s">
        <v>8</v>
      </c>
      <c r="B364" t="s">
        <v>161</v>
      </c>
      <c r="C364" t="s">
        <v>42</v>
      </c>
      <c r="D364" t="s">
        <v>29</v>
      </c>
      <c r="E364" s="3">
        <v>0.7</v>
      </c>
      <c r="F364" s="3">
        <v>0.71399999999999997</v>
      </c>
      <c r="G364">
        <v>2</v>
      </c>
      <c r="H364" s="3">
        <v>1.4</v>
      </c>
      <c r="I364">
        <v>95</v>
      </c>
      <c r="J364">
        <v>2</v>
      </c>
      <c r="K364">
        <v>47</v>
      </c>
      <c r="L364" s="13">
        <f>(Table2[[#This Row],[STARTING INVENTORY]]-Table2[[#This Row],[ENDING INVENTORY]])/(Table2[[#This Row],[STARTING INVENTORY]])</f>
        <v>0.50526315789473686</v>
      </c>
      <c r="M364">
        <f>Table2[[#This Row],[STARTING INVENTORY]]-Table2[[#This Row],[ENDING INVENTORY]]</f>
        <v>48</v>
      </c>
    </row>
    <row r="365" spans="1:13">
      <c r="A365" t="s">
        <v>8</v>
      </c>
      <c r="B365" t="s">
        <v>161</v>
      </c>
      <c r="C365" t="s">
        <v>48</v>
      </c>
      <c r="D365" t="s">
        <v>33</v>
      </c>
      <c r="E365" s="3">
        <v>0.35</v>
      </c>
      <c r="F365" s="3">
        <v>0.35699999999999998</v>
      </c>
      <c r="G365">
        <v>2.02</v>
      </c>
      <c r="H365" s="3">
        <v>0.70699999999999996</v>
      </c>
      <c r="I365">
        <v>144</v>
      </c>
      <c r="J365">
        <v>0</v>
      </c>
      <c r="K365">
        <v>83</v>
      </c>
      <c r="L365" s="13">
        <f>(Table2[[#This Row],[STARTING INVENTORY]]-Table2[[#This Row],[ENDING INVENTORY]])/(Table2[[#This Row],[STARTING INVENTORY]])</f>
        <v>0.4236111111111111</v>
      </c>
      <c r="M365">
        <f>Table2[[#This Row],[STARTING INVENTORY]]-Table2[[#This Row],[ENDING INVENTORY]]</f>
        <v>61</v>
      </c>
    </row>
    <row r="366" spans="1:13">
      <c r="A366" t="s">
        <v>8</v>
      </c>
      <c r="B366" t="s">
        <v>161</v>
      </c>
      <c r="C366" t="s">
        <v>54</v>
      </c>
      <c r="D366" t="s">
        <v>33</v>
      </c>
      <c r="E366" s="3">
        <v>0.2</v>
      </c>
      <c r="F366" s="3">
        <v>0.20400000000000001</v>
      </c>
      <c r="G366">
        <v>2.0099999999999998</v>
      </c>
      <c r="H366" s="3">
        <v>0.40199999999999997</v>
      </c>
      <c r="I366">
        <v>148</v>
      </c>
      <c r="J366">
        <v>0</v>
      </c>
      <c r="K366">
        <v>55</v>
      </c>
      <c r="L366" s="13">
        <f>(Table2[[#This Row],[STARTING INVENTORY]]-Table2[[#This Row],[ENDING INVENTORY]])/(Table2[[#This Row],[STARTING INVENTORY]])</f>
        <v>0.6283783783783784</v>
      </c>
      <c r="M366">
        <f>Table2[[#This Row],[STARTING INVENTORY]]-Table2[[#This Row],[ENDING INVENTORY]]</f>
        <v>93</v>
      </c>
    </row>
    <row r="367" spans="1:13">
      <c r="A367" t="s">
        <v>8</v>
      </c>
      <c r="B367" t="s">
        <v>161</v>
      </c>
      <c r="C367" t="s">
        <v>60</v>
      </c>
      <c r="D367" t="s">
        <v>33</v>
      </c>
      <c r="E367" s="3">
        <v>0.75</v>
      </c>
      <c r="F367" s="3">
        <v>0.76500000000000001</v>
      </c>
      <c r="G367">
        <v>2.02</v>
      </c>
      <c r="H367" s="3">
        <v>1.5150000000000001</v>
      </c>
      <c r="I367">
        <v>165</v>
      </c>
      <c r="J367">
        <v>6</v>
      </c>
      <c r="K367">
        <v>140</v>
      </c>
      <c r="L367" s="13">
        <f>(Table2[[#This Row],[STARTING INVENTORY]]-Table2[[#This Row],[ENDING INVENTORY]])/(Table2[[#This Row],[STARTING INVENTORY]])</f>
        <v>0.15151515151515152</v>
      </c>
      <c r="M367">
        <f>Table2[[#This Row],[STARTING INVENTORY]]-Table2[[#This Row],[ENDING INVENTORY]]</f>
        <v>25</v>
      </c>
    </row>
    <row r="368" spans="1:13">
      <c r="A368" t="s">
        <v>8</v>
      </c>
      <c r="B368" t="s">
        <v>161</v>
      </c>
      <c r="C368" t="s">
        <v>66</v>
      </c>
      <c r="D368" t="s">
        <v>29</v>
      </c>
      <c r="E368" s="3">
        <v>0.6</v>
      </c>
      <c r="F368" s="3">
        <v>0.61199999999999999</v>
      </c>
      <c r="G368">
        <v>2.09</v>
      </c>
      <c r="H368" s="3">
        <v>1.2539999999999998</v>
      </c>
      <c r="I368">
        <v>116</v>
      </c>
      <c r="J368">
        <v>10</v>
      </c>
      <c r="K368">
        <v>60</v>
      </c>
      <c r="L368" s="13">
        <f>(Table2[[#This Row],[STARTING INVENTORY]]-Table2[[#This Row],[ENDING INVENTORY]])/(Table2[[#This Row],[STARTING INVENTORY]])</f>
        <v>0.48275862068965519</v>
      </c>
      <c r="M368">
        <f>Table2[[#This Row],[STARTING INVENTORY]]-Table2[[#This Row],[ENDING INVENTORY]]</f>
        <v>56</v>
      </c>
    </row>
    <row r="369" spans="1:13">
      <c r="A369" t="s">
        <v>8</v>
      </c>
      <c r="B369" t="s">
        <v>161</v>
      </c>
      <c r="C369" t="s">
        <v>72</v>
      </c>
      <c r="D369" t="s">
        <v>29</v>
      </c>
      <c r="E369" s="3">
        <v>0.45</v>
      </c>
      <c r="F369" s="3">
        <v>0.45900000000000002</v>
      </c>
      <c r="G369">
        <v>1.99</v>
      </c>
      <c r="H369" s="3">
        <v>0.89549999999999996</v>
      </c>
      <c r="I369">
        <v>177</v>
      </c>
      <c r="J369">
        <v>3</v>
      </c>
      <c r="K369">
        <v>48</v>
      </c>
      <c r="L369" s="13">
        <f>(Table2[[#This Row],[STARTING INVENTORY]]-Table2[[#This Row],[ENDING INVENTORY]])/(Table2[[#This Row],[STARTING INVENTORY]])</f>
        <v>0.72881355932203384</v>
      </c>
      <c r="M369">
        <f>Table2[[#This Row],[STARTING INVENTORY]]-Table2[[#This Row],[ENDING INVENTORY]]</f>
        <v>129</v>
      </c>
    </row>
    <row r="370" spans="1:13">
      <c r="A370" t="s">
        <v>8</v>
      </c>
      <c r="B370" t="s">
        <v>161</v>
      </c>
      <c r="C370" t="s">
        <v>78</v>
      </c>
      <c r="D370" t="s">
        <v>29</v>
      </c>
      <c r="E370" s="3">
        <v>0.4</v>
      </c>
      <c r="F370" s="3">
        <v>0.40800000000000003</v>
      </c>
      <c r="G370">
        <v>2</v>
      </c>
      <c r="H370" s="3">
        <v>0.8</v>
      </c>
      <c r="I370">
        <v>67</v>
      </c>
      <c r="J370">
        <v>1</v>
      </c>
      <c r="K370">
        <v>45</v>
      </c>
      <c r="L370" s="13">
        <f>(Table2[[#This Row],[STARTING INVENTORY]]-Table2[[#This Row],[ENDING INVENTORY]])/(Table2[[#This Row],[STARTING INVENTORY]])</f>
        <v>0.32835820895522388</v>
      </c>
      <c r="M370">
        <f>Table2[[#This Row],[STARTING INVENTORY]]-Table2[[#This Row],[ENDING INVENTORY]]</f>
        <v>22</v>
      </c>
    </row>
    <row r="371" spans="1:13">
      <c r="A371" t="s">
        <v>8</v>
      </c>
      <c r="B371" t="s">
        <v>161</v>
      </c>
      <c r="C371" t="s">
        <v>84</v>
      </c>
      <c r="D371" t="s">
        <v>29</v>
      </c>
      <c r="E371" s="3">
        <v>0.35</v>
      </c>
      <c r="F371" s="3">
        <v>0.35699999999999998</v>
      </c>
      <c r="G371">
        <v>2.02</v>
      </c>
      <c r="H371" s="3">
        <v>0.70699999999999996</v>
      </c>
      <c r="I371">
        <v>74</v>
      </c>
      <c r="J371">
        <v>3</v>
      </c>
      <c r="K371">
        <v>61</v>
      </c>
      <c r="L371" s="13">
        <f>(Table2[[#This Row],[STARTING INVENTORY]]-Table2[[#This Row],[ENDING INVENTORY]])/(Table2[[#This Row],[STARTING INVENTORY]])</f>
        <v>0.17567567567567569</v>
      </c>
      <c r="M371">
        <f>Table2[[#This Row],[STARTING INVENTORY]]-Table2[[#This Row],[ENDING INVENTORY]]</f>
        <v>13</v>
      </c>
    </row>
    <row r="372" spans="1:13">
      <c r="A372" t="s">
        <v>8</v>
      </c>
      <c r="B372" t="s">
        <v>161</v>
      </c>
      <c r="C372" t="s">
        <v>90</v>
      </c>
      <c r="D372" t="s">
        <v>29</v>
      </c>
      <c r="E372" s="3">
        <v>0.9</v>
      </c>
      <c r="F372" s="3">
        <v>0.91800000000000004</v>
      </c>
      <c r="G372">
        <v>1.99</v>
      </c>
      <c r="H372" s="3">
        <v>1.7909999999999999</v>
      </c>
      <c r="I372">
        <v>103</v>
      </c>
      <c r="J372">
        <v>2</v>
      </c>
      <c r="K372">
        <v>7</v>
      </c>
      <c r="L372" s="13">
        <f>(Table2[[#This Row],[STARTING INVENTORY]]-Table2[[#This Row],[ENDING INVENTORY]])/(Table2[[#This Row],[STARTING INVENTORY]])</f>
        <v>0.93203883495145634</v>
      </c>
      <c r="M372">
        <f>Table2[[#This Row],[STARTING INVENTORY]]-Table2[[#This Row],[ENDING INVENTORY]]</f>
        <v>96</v>
      </c>
    </row>
    <row r="373" spans="1:13">
      <c r="A373" t="s">
        <v>8</v>
      </c>
      <c r="B373" t="s">
        <v>161</v>
      </c>
      <c r="C373" t="s">
        <v>96</v>
      </c>
      <c r="D373" t="s">
        <v>33</v>
      </c>
      <c r="E373" s="3">
        <v>1</v>
      </c>
      <c r="F373" s="3">
        <v>1.02</v>
      </c>
      <c r="G373">
        <v>2</v>
      </c>
      <c r="H373" s="3">
        <v>2</v>
      </c>
      <c r="I373">
        <v>107</v>
      </c>
      <c r="J373">
        <v>1</v>
      </c>
      <c r="K373">
        <v>42</v>
      </c>
      <c r="L373" s="13">
        <f>(Table2[[#This Row],[STARTING INVENTORY]]-Table2[[#This Row],[ENDING INVENTORY]])/(Table2[[#This Row],[STARTING INVENTORY]])</f>
        <v>0.60747663551401865</v>
      </c>
      <c r="M373">
        <f>Table2[[#This Row],[STARTING INVENTORY]]-Table2[[#This Row],[ENDING INVENTORY]]</f>
        <v>65</v>
      </c>
    </row>
    <row r="374" spans="1:13">
      <c r="A374" t="s">
        <v>8</v>
      </c>
      <c r="B374" t="s">
        <v>161</v>
      </c>
      <c r="C374" t="s">
        <v>102</v>
      </c>
      <c r="D374" t="s">
        <v>29</v>
      </c>
      <c r="E374" s="3">
        <v>2.56</v>
      </c>
      <c r="F374" s="3">
        <v>2.6112000000000002</v>
      </c>
      <c r="G374">
        <v>2.06</v>
      </c>
      <c r="H374" s="3">
        <v>5.2736000000000001</v>
      </c>
      <c r="I374">
        <v>116</v>
      </c>
      <c r="J374">
        <v>0</v>
      </c>
      <c r="K374">
        <v>19</v>
      </c>
      <c r="L374" s="13">
        <f>(Table2[[#This Row],[STARTING INVENTORY]]-Table2[[#This Row],[ENDING INVENTORY]])/(Table2[[#This Row],[STARTING INVENTORY]])</f>
        <v>0.83620689655172409</v>
      </c>
      <c r="M374">
        <f>Table2[[#This Row],[STARTING INVENTORY]]-Table2[[#This Row],[ENDING INVENTORY]]</f>
        <v>97</v>
      </c>
    </row>
    <row r="375" spans="1:13">
      <c r="A375" t="s">
        <v>8</v>
      </c>
      <c r="B375" t="s">
        <v>161</v>
      </c>
      <c r="C375" t="s">
        <v>108</v>
      </c>
      <c r="D375" t="s">
        <v>29</v>
      </c>
      <c r="E375" s="3">
        <v>0.75</v>
      </c>
      <c r="F375" s="3">
        <v>0.76500000000000001</v>
      </c>
      <c r="G375">
        <v>2.0499999999999998</v>
      </c>
      <c r="H375" s="3">
        <v>1.5374999999999999</v>
      </c>
      <c r="I375">
        <v>153</v>
      </c>
      <c r="J375">
        <v>5</v>
      </c>
      <c r="K375">
        <v>123</v>
      </c>
      <c r="L375" s="13">
        <f>(Table2[[#This Row],[STARTING INVENTORY]]-Table2[[#This Row],[ENDING INVENTORY]])/(Table2[[#This Row],[STARTING INVENTORY]])</f>
        <v>0.19607843137254902</v>
      </c>
      <c r="M375">
        <f>Table2[[#This Row],[STARTING INVENTORY]]-Table2[[#This Row],[ENDING INVENTORY]]</f>
        <v>30</v>
      </c>
    </row>
    <row r="376" spans="1:13">
      <c r="A376" t="s">
        <v>8</v>
      </c>
      <c r="B376" t="s">
        <v>161</v>
      </c>
      <c r="C376" t="s">
        <v>114</v>
      </c>
      <c r="D376" t="s">
        <v>33</v>
      </c>
      <c r="E376" s="3">
        <v>0.4</v>
      </c>
      <c r="F376" s="3">
        <v>0.40800000000000003</v>
      </c>
      <c r="G376">
        <v>2</v>
      </c>
      <c r="H376" s="3">
        <v>0.8</v>
      </c>
      <c r="I376">
        <v>73</v>
      </c>
      <c r="J376">
        <v>1</v>
      </c>
      <c r="K376">
        <v>38</v>
      </c>
      <c r="L376" s="13">
        <f>(Table2[[#This Row],[STARTING INVENTORY]]-Table2[[#This Row],[ENDING INVENTORY]])/(Table2[[#This Row],[STARTING INVENTORY]])</f>
        <v>0.47945205479452052</v>
      </c>
      <c r="M376">
        <f>Table2[[#This Row],[STARTING INVENTORY]]-Table2[[#This Row],[ENDING INVENTORY]]</f>
        <v>35</v>
      </c>
    </row>
    <row r="377" spans="1:13">
      <c r="A377" t="s">
        <v>8</v>
      </c>
      <c r="B377" t="s">
        <v>161</v>
      </c>
      <c r="C377" t="s">
        <v>120</v>
      </c>
      <c r="D377" t="s">
        <v>29</v>
      </c>
      <c r="E377" s="3">
        <v>1.4</v>
      </c>
      <c r="F377" s="3">
        <v>1.4279999999999999</v>
      </c>
      <c r="G377">
        <v>2.0300000000000002</v>
      </c>
      <c r="H377" s="3">
        <v>2.8420000000000001</v>
      </c>
      <c r="I377">
        <v>163</v>
      </c>
      <c r="J377">
        <v>5</v>
      </c>
      <c r="K377">
        <v>84</v>
      </c>
      <c r="L377" s="13">
        <f>(Table2[[#This Row],[STARTING INVENTORY]]-Table2[[#This Row],[ENDING INVENTORY]])/(Table2[[#This Row],[STARTING INVENTORY]])</f>
        <v>0.48466257668711654</v>
      </c>
      <c r="M377">
        <f>Table2[[#This Row],[STARTING INVENTORY]]-Table2[[#This Row],[ENDING INVENTORY]]</f>
        <v>79</v>
      </c>
    </row>
    <row r="378" spans="1:13">
      <c r="A378" t="s">
        <v>8</v>
      </c>
      <c r="B378" t="s">
        <v>161</v>
      </c>
      <c r="C378" t="s">
        <v>126</v>
      </c>
      <c r="D378" t="s">
        <v>29</v>
      </c>
      <c r="E378" s="3">
        <v>2</v>
      </c>
      <c r="F378" s="3">
        <v>2.04</v>
      </c>
      <c r="G378">
        <v>1.99</v>
      </c>
      <c r="H378" s="3">
        <v>3.98</v>
      </c>
      <c r="I378">
        <v>81</v>
      </c>
      <c r="J378">
        <v>1</v>
      </c>
      <c r="K378">
        <v>48</v>
      </c>
      <c r="L378" s="13">
        <f>(Table2[[#This Row],[STARTING INVENTORY]]-Table2[[#This Row],[ENDING INVENTORY]])/(Table2[[#This Row],[STARTING INVENTORY]])</f>
        <v>0.40740740740740738</v>
      </c>
      <c r="M378">
        <f>Table2[[#This Row],[STARTING INVENTORY]]-Table2[[#This Row],[ENDING INVENTORY]]</f>
        <v>33</v>
      </c>
    </row>
    <row r="379" spans="1:13">
      <c r="A379" t="s">
        <v>8</v>
      </c>
      <c r="B379" t="s">
        <v>161</v>
      </c>
      <c r="C379" t="s">
        <v>132</v>
      </c>
      <c r="D379" t="s">
        <v>29</v>
      </c>
      <c r="E379" s="3">
        <v>0.45</v>
      </c>
      <c r="F379" s="3">
        <v>0.45900000000000002</v>
      </c>
      <c r="G379">
        <v>2.0099999999999998</v>
      </c>
      <c r="H379" s="3">
        <v>0.90449999999999997</v>
      </c>
      <c r="I379">
        <v>135</v>
      </c>
      <c r="J379">
        <v>0</v>
      </c>
      <c r="K379">
        <v>61</v>
      </c>
      <c r="L379" s="13">
        <f>(Table2[[#This Row],[STARTING INVENTORY]]-Table2[[#This Row],[ENDING INVENTORY]])/(Table2[[#This Row],[STARTING INVENTORY]])</f>
        <v>0.54814814814814816</v>
      </c>
      <c r="M379">
        <f>Table2[[#This Row],[STARTING INVENTORY]]-Table2[[#This Row],[ENDING INVENTORY]]</f>
        <v>74</v>
      </c>
    </row>
    <row r="380" spans="1:13">
      <c r="A380" t="s">
        <v>8</v>
      </c>
      <c r="B380" t="s">
        <v>161</v>
      </c>
      <c r="C380" t="s">
        <v>138</v>
      </c>
      <c r="D380" t="s">
        <v>33</v>
      </c>
      <c r="E380" s="3">
        <v>1.9</v>
      </c>
      <c r="F380" s="3">
        <v>1.9379999999999999</v>
      </c>
      <c r="G380">
        <v>1.95</v>
      </c>
      <c r="H380" s="3">
        <v>3.7049999999999996</v>
      </c>
      <c r="I380">
        <v>176</v>
      </c>
      <c r="J380">
        <v>0</v>
      </c>
      <c r="K380">
        <v>105</v>
      </c>
      <c r="L380" s="13">
        <f>(Table2[[#This Row],[STARTING INVENTORY]]-Table2[[#This Row],[ENDING INVENTORY]])/(Table2[[#This Row],[STARTING INVENTORY]])</f>
        <v>0.40340909090909088</v>
      </c>
      <c r="M380">
        <f>Table2[[#This Row],[STARTING INVENTORY]]-Table2[[#This Row],[ENDING INVENTORY]]</f>
        <v>71</v>
      </c>
    </row>
    <row r="381" spans="1:13">
      <c r="A381" t="s">
        <v>8</v>
      </c>
      <c r="B381" t="s">
        <v>161</v>
      </c>
      <c r="C381" t="s">
        <v>144</v>
      </c>
      <c r="D381" t="s">
        <v>33</v>
      </c>
      <c r="E381" s="3">
        <v>4</v>
      </c>
      <c r="F381" s="3">
        <v>4.08</v>
      </c>
      <c r="G381">
        <v>2.08</v>
      </c>
      <c r="H381" s="3">
        <v>8.32</v>
      </c>
      <c r="I381">
        <v>179</v>
      </c>
      <c r="J381">
        <v>2</v>
      </c>
      <c r="K381">
        <v>106</v>
      </c>
      <c r="L381" s="13">
        <f>(Table2[[#This Row],[STARTING INVENTORY]]-Table2[[#This Row],[ENDING INVENTORY]])/(Table2[[#This Row],[STARTING INVENTORY]])</f>
        <v>0.40782122905027934</v>
      </c>
      <c r="M381">
        <f>Table2[[#This Row],[STARTING INVENTORY]]-Table2[[#This Row],[ENDING INVENTORY]]</f>
        <v>73</v>
      </c>
    </row>
    <row r="382" spans="1:13">
      <c r="A382" t="s">
        <v>8</v>
      </c>
      <c r="B382" t="s">
        <v>162</v>
      </c>
      <c r="C382" t="s">
        <v>30</v>
      </c>
      <c r="D382" t="s">
        <v>29</v>
      </c>
      <c r="E382" s="3">
        <v>2.85</v>
      </c>
      <c r="F382" s="3">
        <v>2.907</v>
      </c>
      <c r="G382">
        <v>2.0300000000000002</v>
      </c>
      <c r="H382" s="3">
        <v>5.7855000000000008</v>
      </c>
      <c r="I382">
        <v>36</v>
      </c>
      <c r="J382">
        <v>8</v>
      </c>
      <c r="K382">
        <v>21</v>
      </c>
      <c r="L382" s="13">
        <f>(Table2[[#This Row],[STARTING INVENTORY]]-Table2[[#This Row],[ENDING INVENTORY]])/(Table2[[#This Row],[STARTING INVENTORY]])</f>
        <v>0.41666666666666669</v>
      </c>
      <c r="M382">
        <f>Table2[[#This Row],[STARTING INVENTORY]]-Table2[[#This Row],[ENDING INVENTORY]]</f>
        <v>15</v>
      </c>
    </row>
    <row r="383" spans="1:13">
      <c r="A383" t="s">
        <v>8</v>
      </c>
      <c r="B383" t="s">
        <v>162</v>
      </c>
      <c r="C383" t="s">
        <v>37</v>
      </c>
      <c r="D383" t="s">
        <v>29</v>
      </c>
      <c r="E383" s="3">
        <v>2.5</v>
      </c>
      <c r="F383" s="3">
        <v>2.5499999999999998</v>
      </c>
      <c r="G383">
        <v>2.08</v>
      </c>
      <c r="H383" s="3">
        <v>5.2</v>
      </c>
      <c r="I383">
        <v>52</v>
      </c>
      <c r="J383">
        <v>0</v>
      </c>
      <c r="K383">
        <v>40</v>
      </c>
      <c r="L383" s="13">
        <f>(Table2[[#This Row],[STARTING INVENTORY]]-Table2[[#This Row],[ENDING INVENTORY]])/(Table2[[#This Row],[STARTING INVENTORY]])</f>
        <v>0.23076923076923078</v>
      </c>
      <c r="M383">
        <f>Table2[[#This Row],[STARTING INVENTORY]]-Table2[[#This Row],[ENDING INVENTORY]]</f>
        <v>12</v>
      </c>
    </row>
    <row r="384" spans="1:13">
      <c r="A384" t="s">
        <v>8</v>
      </c>
      <c r="B384" t="s">
        <v>162</v>
      </c>
      <c r="C384" t="s">
        <v>43</v>
      </c>
      <c r="D384" t="s">
        <v>29</v>
      </c>
      <c r="E384" s="3">
        <v>2.1</v>
      </c>
      <c r="F384" s="3">
        <v>2.1420000000000003</v>
      </c>
      <c r="G384">
        <v>2.09</v>
      </c>
      <c r="H384" s="3">
        <v>4.3890000000000002</v>
      </c>
      <c r="I384">
        <v>28</v>
      </c>
      <c r="J384">
        <v>6</v>
      </c>
      <c r="K384">
        <v>8</v>
      </c>
      <c r="L384" s="13">
        <f>(Table2[[#This Row],[STARTING INVENTORY]]-Table2[[#This Row],[ENDING INVENTORY]])/(Table2[[#This Row],[STARTING INVENTORY]])</f>
        <v>0.7142857142857143</v>
      </c>
      <c r="M384">
        <f>Table2[[#This Row],[STARTING INVENTORY]]-Table2[[#This Row],[ENDING INVENTORY]]</f>
        <v>20</v>
      </c>
    </row>
    <row r="385" spans="1:13">
      <c r="A385" t="s">
        <v>8</v>
      </c>
      <c r="B385" t="s">
        <v>162</v>
      </c>
      <c r="C385" t="s">
        <v>49</v>
      </c>
      <c r="D385" t="s">
        <v>29</v>
      </c>
      <c r="E385" s="3">
        <v>1</v>
      </c>
      <c r="F385" s="3">
        <v>1.02</v>
      </c>
      <c r="G385">
        <v>2</v>
      </c>
      <c r="H385" s="3">
        <v>2</v>
      </c>
      <c r="I385">
        <v>62</v>
      </c>
      <c r="J385">
        <v>2</v>
      </c>
      <c r="K385">
        <v>23</v>
      </c>
      <c r="L385" s="13">
        <f>(Table2[[#This Row],[STARTING INVENTORY]]-Table2[[#This Row],[ENDING INVENTORY]])/(Table2[[#This Row],[STARTING INVENTORY]])</f>
        <v>0.62903225806451613</v>
      </c>
      <c r="M385">
        <f>Table2[[#This Row],[STARTING INVENTORY]]-Table2[[#This Row],[ENDING INVENTORY]]</f>
        <v>39</v>
      </c>
    </row>
    <row r="386" spans="1:13">
      <c r="A386" t="s">
        <v>8</v>
      </c>
      <c r="B386" t="s">
        <v>162</v>
      </c>
      <c r="C386" t="s">
        <v>55</v>
      </c>
      <c r="D386" t="s">
        <v>29</v>
      </c>
      <c r="E386" s="3">
        <v>0.9</v>
      </c>
      <c r="F386" s="3">
        <v>0.91800000000000004</v>
      </c>
      <c r="G386">
        <v>2.06</v>
      </c>
      <c r="H386" s="3">
        <v>1.8540000000000001</v>
      </c>
      <c r="I386">
        <v>67</v>
      </c>
      <c r="J386">
        <v>5</v>
      </c>
      <c r="K386">
        <v>36</v>
      </c>
      <c r="L386" s="13">
        <f>(Table2[[#This Row],[STARTING INVENTORY]]-Table2[[#This Row],[ENDING INVENTORY]])/(Table2[[#This Row],[STARTING INVENTORY]])</f>
        <v>0.46268656716417911</v>
      </c>
      <c r="M386">
        <f>Table2[[#This Row],[STARTING INVENTORY]]-Table2[[#This Row],[ENDING INVENTORY]]</f>
        <v>31</v>
      </c>
    </row>
    <row r="387" spans="1:13">
      <c r="A387" t="s">
        <v>8</v>
      </c>
      <c r="B387" t="s">
        <v>162</v>
      </c>
      <c r="C387" t="s">
        <v>61</v>
      </c>
      <c r="D387" t="s">
        <v>29</v>
      </c>
      <c r="E387" s="3">
        <v>1.9</v>
      </c>
      <c r="F387" s="3">
        <v>1.9379999999999999</v>
      </c>
      <c r="G387">
        <v>2.0300000000000002</v>
      </c>
      <c r="H387" s="3">
        <v>3.8570000000000002</v>
      </c>
      <c r="I387">
        <v>58</v>
      </c>
      <c r="J387">
        <v>1</v>
      </c>
      <c r="K387">
        <v>48</v>
      </c>
      <c r="L387" s="13">
        <f>(Table2[[#This Row],[STARTING INVENTORY]]-Table2[[#This Row],[ENDING INVENTORY]])/(Table2[[#This Row],[STARTING INVENTORY]])</f>
        <v>0.17241379310344829</v>
      </c>
      <c r="M387">
        <f>Table2[[#This Row],[STARTING INVENTORY]]-Table2[[#This Row],[ENDING INVENTORY]]</f>
        <v>10</v>
      </c>
    </row>
    <row r="388" spans="1:13">
      <c r="A388" t="s">
        <v>8</v>
      </c>
      <c r="B388" t="s">
        <v>162</v>
      </c>
      <c r="C388" t="s">
        <v>67</v>
      </c>
      <c r="D388" t="s">
        <v>29</v>
      </c>
      <c r="E388" s="3">
        <v>1.3</v>
      </c>
      <c r="F388" s="3">
        <v>1.3260000000000001</v>
      </c>
      <c r="G388">
        <v>2</v>
      </c>
      <c r="H388" s="3">
        <v>2.6</v>
      </c>
      <c r="I388">
        <v>61</v>
      </c>
      <c r="J388">
        <v>5</v>
      </c>
      <c r="K388">
        <v>40</v>
      </c>
      <c r="L388" s="13">
        <f>(Table2[[#This Row],[STARTING INVENTORY]]-Table2[[#This Row],[ENDING INVENTORY]])/(Table2[[#This Row],[STARTING INVENTORY]])</f>
        <v>0.34426229508196721</v>
      </c>
      <c r="M388">
        <f>Table2[[#This Row],[STARTING INVENTORY]]-Table2[[#This Row],[ENDING INVENTORY]]</f>
        <v>21</v>
      </c>
    </row>
    <row r="389" spans="1:13">
      <c r="A389" t="s">
        <v>8</v>
      </c>
      <c r="B389" t="s">
        <v>162</v>
      </c>
      <c r="C389" t="s">
        <v>73</v>
      </c>
      <c r="D389" t="s">
        <v>29</v>
      </c>
      <c r="E389" s="3">
        <v>4</v>
      </c>
      <c r="F389" s="3">
        <v>4.08</v>
      </c>
      <c r="G389">
        <v>2.04</v>
      </c>
      <c r="H389" s="3">
        <v>8.16</v>
      </c>
      <c r="I389">
        <v>45</v>
      </c>
      <c r="J389">
        <v>4</v>
      </c>
      <c r="K389">
        <v>16</v>
      </c>
      <c r="L389" s="13">
        <f>(Table2[[#This Row],[STARTING INVENTORY]]-Table2[[#This Row],[ENDING INVENTORY]])/(Table2[[#This Row],[STARTING INVENTORY]])</f>
        <v>0.64444444444444449</v>
      </c>
      <c r="M389">
        <f>Table2[[#This Row],[STARTING INVENTORY]]-Table2[[#This Row],[ENDING INVENTORY]]</f>
        <v>29</v>
      </c>
    </row>
    <row r="390" spans="1:13">
      <c r="A390" t="s">
        <v>8</v>
      </c>
      <c r="B390" t="s">
        <v>162</v>
      </c>
      <c r="C390" t="s">
        <v>79</v>
      </c>
      <c r="D390" t="s">
        <v>29</v>
      </c>
      <c r="E390" s="3">
        <v>2.2000000000000002</v>
      </c>
      <c r="F390" s="3">
        <v>2.2440000000000002</v>
      </c>
      <c r="G390">
        <v>1.99</v>
      </c>
      <c r="H390" s="3">
        <v>4.3780000000000001</v>
      </c>
      <c r="I390">
        <v>69</v>
      </c>
      <c r="J390">
        <v>0</v>
      </c>
      <c r="K390">
        <v>20</v>
      </c>
      <c r="L390" s="13">
        <f>(Table2[[#This Row],[STARTING INVENTORY]]-Table2[[#This Row],[ENDING INVENTORY]])/(Table2[[#This Row],[STARTING INVENTORY]])</f>
        <v>0.71014492753623193</v>
      </c>
      <c r="M390">
        <f>Table2[[#This Row],[STARTING INVENTORY]]-Table2[[#This Row],[ENDING INVENTORY]]</f>
        <v>49</v>
      </c>
    </row>
    <row r="391" spans="1:13">
      <c r="A391" t="s">
        <v>8</v>
      </c>
      <c r="B391" t="s">
        <v>162</v>
      </c>
      <c r="C391" t="s">
        <v>85</v>
      </c>
      <c r="D391" t="s">
        <v>29</v>
      </c>
      <c r="E391" s="3">
        <v>2.75</v>
      </c>
      <c r="F391" s="3">
        <v>2.8050000000000002</v>
      </c>
      <c r="G391">
        <v>2.04</v>
      </c>
      <c r="H391" s="3">
        <v>5.61</v>
      </c>
      <c r="I391">
        <v>44</v>
      </c>
      <c r="J391">
        <v>0</v>
      </c>
      <c r="K391">
        <v>38</v>
      </c>
      <c r="L391" s="13">
        <f>(Table2[[#This Row],[STARTING INVENTORY]]-Table2[[#This Row],[ENDING INVENTORY]])/(Table2[[#This Row],[STARTING INVENTORY]])</f>
        <v>0.13636363636363635</v>
      </c>
      <c r="M391">
        <f>Table2[[#This Row],[STARTING INVENTORY]]-Table2[[#This Row],[ENDING INVENTORY]]</f>
        <v>6</v>
      </c>
    </row>
    <row r="392" spans="1:13">
      <c r="A392" t="s">
        <v>8</v>
      </c>
      <c r="B392" t="s">
        <v>162</v>
      </c>
      <c r="C392" t="s">
        <v>91</v>
      </c>
      <c r="D392" t="s">
        <v>29</v>
      </c>
      <c r="E392" s="3">
        <v>3.5</v>
      </c>
      <c r="F392" s="3">
        <v>3.5700000000000003</v>
      </c>
      <c r="G392">
        <v>2.0099999999999998</v>
      </c>
      <c r="H392" s="3">
        <v>7.0349999999999993</v>
      </c>
      <c r="I392">
        <v>43</v>
      </c>
      <c r="J392">
        <v>6</v>
      </c>
      <c r="K392">
        <v>12</v>
      </c>
      <c r="L392" s="13">
        <f>(Table2[[#This Row],[STARTING INVENTORY]]-Table2[[#This Row],[ENDING INVENTORY]])/(Table2[[#This Row],[STARTING INVENTORY]])</f>
        <v>0.72093023255813948</v>
      </c>
      <c r="M392">
        <f>Table2[[#This Row],[STARTING INVENTORY]]-Table2[[#This Row],[ENDING INVENTORY]]</f>
        <v>31</v>
      </c>
    </row>
    <row r="393" spans="1:13">
      <c r="A393" t="s">
        <v>8</v>
      </c>
      <c r="B393" t="s">
        <v>162</v>
      </c>
      <c r="C393" t="s">
        <v>97</v>
      </c>
      <c r="D393" t="s">
        <v>29</v>
      </c>
      <c r="E393" s="3">
        <v>8</v>
      </c>
      <c r="F393" s="3">
        <v>8.16</v>
      </c>
      <c r="G393">
        <v>2.06</v>
      </c>
      <c r="H393" s="3">
        <v>16.48</v>
      </c>
      <c r="I393">
        <v>32</v>
      </c>
      <c r="J393">
        <v>8</v>
      </c>
      <c r="K393">
        <v>10</v>
      </c>
      <c r="L393" s="13">
        <f>(Table2[[#This Row],[STARTING INVENTORY]]-Table2[[#This Row],[ENDING INVENTORY]])/(Table2[[#This Row],[STARTING INVENTORY]])</f>
        <v>0.6875</v>
      </c>
      <c r="M393">
        <f>Table2[[#This Row],[STARTING INVENTORY]]-Table2[[#This Row],[ENDING INVENTORY]]</f>
        <v>22</v>
      </c>
    </row>
    <row r="394" spans="1:13">
      <c r="A394" t="s">
        <v>8</v>
      </c>
      <c r="B394" t="s">
        <v>162</v>
      </c>
      <c r="C394" t="s">
        <v>103</v>
      </c>
      <c r="D394" t="s">
        <v>29</v>
      </c>
      <c r="E394" s="3">
        <v>7</v>
      </c>
      <c r="F394" s="3">
        <v>7.1400000000000006</v>
      </c>
      <c r="G394">
        <v>2</v>
      </c>
      <c r="H394" s="3">
        <v>14</v>
      </c>
      <c r="I394">
        <v>79</v>
      </c>
      <c r="J394">
        <v>0</v>
      </c>
      <c r="K394">
        <v>18</v>
      </c>
      <c r="L394" s="13">
        <f>(Table2[[#This Row],[STARTING INVENTORY]]-Table2[[#This Row],[ENDING INVENTORY]])/(Table2[[#This Row],[STARTING INVENTORY]])</f>
        <v>0.77215189873417722</v>
      </c>
      <c r="M394">
        <f>Table2[[#This Row],[STARTING INVENTORY]]-Table2[[#This Row],[ENDING INVENTORY]]</f>
        <v>61</v>
      </c>
    </row>
    <row r="395" spans="1:13">
      <c r="A395" t="s">
        <v>8</v>
      </c>
      <c r="B395" t="s">
        <v>162</v>
      </c>
      <c r="C395" t="s">
        <v>109</v>
      </c>
      <c r="D395" t="s">
        <v>29</v>
      </c>
      <c r="E395" s="3">
        <v>1.8</v>
      </c>
      <c r="F395" s="3">
        <v>1.8360000000000001</v>
      </c>
      <c r="G395">
        <v>1.97</v>
      </c>
      <c r="H395" s="3">
        <v>3.5459999999999998</v>
      </c>
      <c r="I395">
        <v>26</v>
      </c>
      <c r="J395">
        <v>4</v>
      </c>
      <c r="K395">
        <v>10</v>
      </c>
      <c r="L395" s="13">
        <f>(Table2[[#This Row],[STARTING INVENTORY]]-Table2[[#This Row],[ENDING INVENTORY]])/(Table2[[#This Row],[STARTING INVENTORY]])</f>
        <v>0.61538461538461542</v>
      </c>
      <c r="M395">
        <f>Table2[[#This Row],[STARTING INVENTORY]]-Table2[[#This Row],[ENDING INVENTORY]]</f>
        <v>16</v>
      </c>
    </row>
    <row r="396" spans="1:13">
      <c r="A396" t="s">
        <v>8</v>
      </c>
      <c r="B396" t="s">
        <v>162</v>
      </c>
      <c r="C396" t="s">
        <v>115</v>
      </c>
      <c r="D396" t="s">
        <v>29</v>
      </c>
      <c r="E396" s="3">
        <v>9</v>
      </c>
      <c r="F396" s="3">
        <v>9.18</v>
      </c>
      <c r="G396">
        <v>2.02</v>
      </c>
      <c r="H396" s="3">
        <v>18.18</v>
      </c>
      <c r="I396">
        <v>76</v>
      </c>
      <c r="J396">
        <v>7</v>
      </c>
      <c r="K396">
        <v>45</v>
      </c>
      <c r="L396" s="13">
        <f>(Table2[[#This Row],[STARTING INVENTORY]]-Table2[[#This Row],[ENDING INVENTORY]])/(Table2[[#This Row],[STARTING INVENTORY]])</f>
        <v>0.40789473684210525</v>
      </c>
      <c r="M396">
        <f>Table2[[#This Row],[STARTING INVENTORY]]-Table2[[#This Row],[ENDING INVENTORY]]</f>
        <v>31</v>
      </c>
    </row>
    <row r="397" spans="1:13">
      <c r="A397" t="s">
        <v>8</v>
      </c>
      <c r="B397" t="s">
        <v>162</v>
      </c>
      <c r="C397" t="s">
        <v>121</v>
      </c>
      <c r="D397" t="s">
        <v>29</v>
      </c>
      <c r="E397" s="3">
        <v>0.95</v>
      </c>
      <c r="F397" s="3">
        <v>0.96899999999999997</v>
      </c>
      <c r="G397">
        <v>1.97</v>
      </c>
      <c r="H397" s="3">
        <v>1.8714999999999999</v>
      </c>
      <c r="I397">
        <v>55</v>
      </c>
      <c r="J397">
        <v>6</v>
      </c>
      <c r="K397">
        <v>44</v>
      </c>
      <c r="L397" s="13">
        <f>(Table2[[#This Row],[STARTING INVENTORY]]-Table2[[#This Row],[ENDING INVENTORY]])/(Table2[[#This Row],[STARTING INVENTORY]])</f>
        <v>0.2</v>
      </c>
      <c r="M397">
        <f>Table2[[#This Row],[STARTING INVENTORY]]-Table2[[#This Row],[ENDING INVENTORY]]</f>
        <v>11</v>
      </c>
    </row>
    <row r="398" spans="1:13">
      <c r="A398" t="s">
        <v>8</v>
      </c>
      <c r="B398" t="s">
        <v>162</v>
      </c>
      <c r="C398" t="s">
        <v>127</v>
      </c>
      <c r="D398" t="s">
        <v>29</v>
      </c>
      <c r="E398" s="3">
        <v>1.85</v>
      </c>
      <c r="F398" s="3">
        <v>1.8870000000000002</v>
      </c>
      <c r="G398">
        <v>2.06</v>
      </c>
      <c r="H398" s="3">
        <v>3.8110000000000004</v>
      </c>
      <c r="I398">
        <v>64</v>
      </c>
      <c r="J398">
        <v>8</v>
      </c>
      <c r="K398">
        <v>0</v>
      </c>
      <c r="L398" s="13">
        <f>(Table2[[#This Row],[STARTING INVENTORY]]-Table2[[#This Row],[ENDING INVENTORY]])/(Table2[[#This Row],[STARTING INVENTORY]])</f>
        <v>1</v>
      </c>
      <c r="M398">
        <f>Table2[[#This Row],[STARTING INVENTORY]]-Table2[[#This Row],[ENDING INVENTORY]]</f>
        <v>64</v>
      </c>
    </row>
    <row r="399" spans="1:13">
      <c r="A399" t="s">
        <v>8</v>
      </c>
      <c r="B399" t="s">
        <v>162</v>
      </c>
      <c r="C399" t="s">
        <v>133</v>
      </c>
      <c r="D399" t="s">
        <v>29</v>
      </c>
      <c r="E399" s="3">
        <v>5.5</v>
      </c>
      <c r="F399" s="3">
        <v>5.61</v>
      </c>
      <c r="G399">
        <v>2.0300000000000002</v>
      </c>
      <c r="H399" s="3">
        <v>11.165000000000001</v>
      </c>
      <c r="I399">
        <v>39</v>
      </c>
      <c r="J399">
        <v>4</v>
      </c>
      <c r="K399">
        <v>18</v>
      </c>
      <c r="L399" s="13">
        <f>(Table2[[#This Row],[STARTING INVENTORY]]-Table2[[#This Row],[ENDING INVENTORY]])/(Table2[[#This Row],[STARTING INVENTORY]])</f>
        <v>0.53846153846153844</v>
      </c>
      <c r="M399">
        <f>Table2[[#This Row],[STARTING INVENTORY]]-Table2[[#This Row],[ENDING INVENTORY]]</f>
        <v>21</v>
      </c>
    </row>
    <row r="400" spans="1:13">
      <c r="A400" t="s">
        <v>8</v>
      </c>
      <c r="B400" t="s">
        <v>162</v>
      </c>
      <c r="C400" t="s">
        <v>139</v>
      </c>
      <c r="D400" t="s">
        <v>29</v>
      </c>
      <c r="E400" s="3">
        <v>1.9</v>
      </c>
      <c r="F400" s="3">
        <v>1.9379999999999999</v>
      </c>
      <c r="G400">
        <v>2.08</v>
      </c>
      <c r="H400" s="3">
        <v>3.952</v>
      </c>
      <c r="I400">
        <v>84</v>
      </c>
      <c r="J400">
        <v>1</v>
      </c>
      <c r="K400">
        <v>75</v>
      </c>
      <c r="L400" s="13">
        <f>(Table2[[#This Row],[STARTING INVENTORY]]-Table2[[#This Row],[ENDING INVENTORY]])/(Table2[[#This Row],[STARTING INVENTORY]])</f>
        <v>0.10714285714285714</v>
      </c>
      <c r="M400">
        <f>Table2[[#This Row],[STARTING INVENTORY]]-Table2[[#This Row],[ENDING INVENTORY]]</f>
        <v>9</v>
      </c>
    </row>
    <row r="401" spans="1:13">
      <c r="A401" t="s">
        <v>8</v>
      </c>
      <c r="B401" t="s">
        <v>162</v>
      </c>
      <c r="C401" t="s">
        <v>145</v>
      </c>
      <c r="D401" t="s">
        <v>29</v>
      </c>
      <c r="E401" s="3">
        <v>2.75</v>
      </c>
      <c r="F401" s="3">
        <v>2.8050000000000002</v>
      </c>
      <c r="G401">
        <v>2</v>
      </c>
      <c r="H401" s="3">
        <v>5.5</v>
      </c>
      <c r="I401">
        <v>27</v>
      </c>
      <c r="J401">
        <v>1</v>
      </c>
      <c r="K401">
        <v>7</v>
      </c>
      <c r="L401" s="13">
        <f>(Table2[[#This Row],[STARTING INVENTORY]]-Table2[[#This Row],[ENDING INVENTORY]])/(Table2[[#This Row],[STARTING INVENTORY]])</f>
        <v>0.7407407407407407</v>
      </c>
      <c r="M401">
        <f>Table2[[#This Row],[STARTING INVENTORY]]-Table2[[#This Row],[ENDING INVENTORY]]</f>
        <v>20</v>
      </c>
    </row>
    <row r="402" spans="1:13">
      <c r="A402" t="s">
        <v>8</v>
      </c>
      <c r="B402" t="s">
        <v>163</v>
      </c>
      <c r="C402" t="s">
        <v>32</v>
      </c>
      <c r="D402" t="s">
        <v>33</v>
      </c>
      <c r="E402" s="3">
        <v>3.25</v>
      </c>
      <c r="F402" s="3">
        <v>3.3149999999999999</v>
      </c>
      <c r="G402">
        <v>1.97</v>
      </c>
      <c r="H402" s="3">
        <v>6.4024999999999999</v>
      </c>
      <c r="I402">
        <v>159</v>
      </c>
      <c r="J402">
        <v>1</v>
      </c>
      <c r="K402">
        <v>108</v>
      </c>
      <c r="L402" s="13">
        <f>(Table2[[#This Row],[STARTING INVENTORY]]-Table2[[#This Row],[ENDING INVENTORY]])/(Table2[[#This Row],[STARTING INVENTORY]])</f>
        <v>0.32075471698113206</v>
      </c>
      <c r="M402">
        <f>Table2[[#This Row],[STARTING INVENTORY]]-Table2[[#This Row],[ENDING INVENTORY]]</f>
        <v>51</v>
      </c>
    </row>
    <row r="403" spans="1:13">
      <c r="A403" t="s">
        <v>8</v>
      </c>
      <c r="B403" t="s">
        <v>163</v>
      </c>
      <c r="C403" t="s">
        <v>39</v>
      </c>
      <c r="D403" t="s">
        <v>33</v>
      </c>
      <c r="E403" s="3">
        <v>0.9</v>
      </c>
      <c r="F403" s="3">
        <v>0.91800000000000004</v>
      </c>
      <c r="G403">
        <v>2.1</v>
      </c>
      <c r="H403" s="3">
        <v>1.8900000000000001</v>
      </c>
      <c r="I403">
        <v>65</v>
      </c>
      <c r="J403">
        <v>4</v>
      </c>
      <c r="K403">
        <v>11</v>
      </c>
      <c r="L403" s="13">
        <f>(Table2[[#This Row],[STARTING INVENTORY]]-Table2[[#This Row],[ENDING INVENTORY]])/(Table2[[#This Row],[STARTING INVENTORY]])</f>
        <v>0.83076923076923082</v>
      </c>
      <c r="M403">
        <f>Table2[[#This Row],[STARTING INVENTORY]]-Table2[[#This Row],[ENDING INVENTORY]]</f>
        <v>54</v>
      </c>
    </row>
    <row r="404" spans="1:13">
      <c r="A404" t="s">
        <v>8</v>
      </c>
      <c r="B404" t="s">
        <v>163</v>
      </c>
      <c r="C404" t="s">
        <v>45</v>
      </c>
      <c r="D404" t="s">
        <v>33</v>
      </c>
      <c r="E404" s="3">
        <v>1.6</v>
      </c>
      <c r="F404" s="3">
        <v>1.6320000000000001</v>
      </c>
      <c r="G404">
        <v>1.98</v>
      </c>
      <c r="H404" s="3">
        <v>3.1680000000000001</v>
      </c>
      <c r="I404">
        <v>63</v>
      </c>
      <c r="J404">
        <v>4</v>
      </c>
      <c r="K404">
        <v>47</v>
      </c>
      <c r="L404" s="13">
        <f>(Table2[[#This Row],[STARTING INVENTORY]]-Table2[[#This Row],[ENDING INVENTORY]])/(Table2[[#This Row],[STARTING INVENTORY]])</f>
        <v>0.25396825396825395</v>
      </c>
      <c r="M404">
        <f>Table2[[#This Row],[STARTING INVENTORY]]-Table2[[#This Row],[ENDING INVENTORY]]</f>
        <v>16</v>
      </c>
    </row>
    <row r="405" spans="1:13">
      <c r="A405" t="s">
        <v>8</v>
      </c>
      <c r="B405" t="s">
        <v>163</v>
      </c>
      <c r="C405" t="s">
        <v>51</v>
      </c>
      <c r="D405" t="s">
        <v>33</v>
      </c>
      <c r="E405" s="3">
        <v>1.1000000000000001</v>
      </c>
      <c r="F405" s="3">
        <v>1.1220000000000001</v>
      </c>
      <c r="G405">
        <v>1.98</v>
      </c>
      <c r="H405" s="3">
        <v>2.1779999999999999</v>
      </c>
      <c r="I405">
        <v>125</v>
      </c>
      <c r="J405">
        <v>0</v>
      </c>
      <c r="K405">
        <v>32</v>
      </c>
      <c r="L405" s="13">
        <f>(Table2[[#This Row],[STARTING INVENTORY]]-Table2[[#This Row],[ENDING INVENTORY]])/(Table2[[#This Row],[STARTING INVENTORY]])</f>
        <v>0.74399999999999999</v>
      </c>
      <c r="M405">
        <f>Table2[[#This Row],[STARTING INVENTORY]]-Table2[[#This Row],[ENDING INVENTORY]]</f>
        <v>93</v>
      </c>
    </row>
    <row r="406" spans="1:13">
      <c r="A406" t="s">
        <v>8</v>
      </c>
      <c r="B406" t="s">
        <v>163</v>
      </c>
      <c r="C406" t="s">
        <v>57</v>
      </c>
      <c r="D406" t="s">
        <v>33</v>
      </c>
      <c r="E406" s="3">
        <v>0.95</v>
      </c>
      <c r="F406" s="3">
        <v>0.96899999999999997</v>
      </c>
      <c r="G406">
        <v>1.98</v>
      </c>
      <c r="H406" s="3">
        <v>1.881</v>
      </c>
      <c r="I406">
        <v>136</v>
      </c>
      <c r="J406">
        <v>6</v>
      </c>
      <c r="K406">
        <v>44</v>
      </c>
      <c r="L406" s="13">
        <f>(Table2[[#This Row],[STARTING INVENTORY]]-Table2[[#This Row],[ENDING INVENTORY]])/(Table2[[#This Row],[STARTING INVENTORY]])</f>
        <v>0.67647058823529416</v>
      </c>
      <c r="M406">
        <f>Table2[[#This Row],[STARTING INVENTORY]]-Table2[[#This Row],[ENDING INVENTORY]]</f>
        <v>92</v>
      </c>
    </row>
    <row r="407" spans="1:13">
      <c r="A407" t="s">
        <v>8</v>
      </c>
      <c r="B407" t="s">
        <v>163</v>
      </c>
      <c r="C407" t="s">
        <v>63</v>
      </c>
      <c r="D407" t="s">
        <v>33</v>
      </c>
      <c r="E407" s="3">
        <v>2.75</v>
      </c>
      <c r="F407" s="3">
        <v>2.8050000000000002</v>
      </c>
      <c r="G407">
        <v>2</v>
      </c>
      <c r="H407" s="3">
        <v>5.5</v>
      </c>
      <c r="I407">
        <v>64</v>
      </c>
      <c r="J407">
        <v>4</v>
      </c>
      <c r="K407">
        <v>25</v>
      </c>
      <c r="L407" s="13">
        <f>(Table2[[#This Row],[STARTING INVENTORY]]-Table2[[#This Row],[ENDING INVENTORY]])/(Table2[[#This Row],[STARTING INVENTORY]])</f>
        <v>0.609375</v>
      </c>
      <c r="M407">
        <f>Table2[[#This Row],[STARTING INVENTORY]]-Table2[[#This Row],[ENDING INVENTORY]]</f>
        <v>39</v>
      </c>
    </row>
    <row r="408" spans="1:13">
      <c r="A408" t="s">
        <v>8</v>
      </c>
      <c r="B408" t="s">
        <v>163</v>
      </c>
      <c r="C408" t="s">
        <v>69</v>
      </c>
      <c r="D408" t="s">
        <v>33</v>
      </c>
      <c r="E408" s="3">
        <v>1.9</v>
      </c>
      <c r="F408" s="3">
        <v>1.9379999999999999</v>
      </c>
      <c r="G408">
        <v>1.99</v>
      </c>
      <c r="H408" s="3">
        <v>3.7809999999999997</v>
      </c>
      <c r="I408">
        <v>141</v>
      </c>
      <c r="J408">
        <v>2</v>
      </c>
      <c r="K408">
        <v>102</v>
      </c>
      <c r="L408" s="13">
        <f>(Table2[[#This Row],[STARTING INVENTORY]]-Table2[[#This Row],[ENDING INVENTORY]])/(Table2[[#This Row],[STARTING INVENTORY]])</f>
        <v>0.27659574468085107</v>
      </c>
      <c r="M408">
        <f>Table2[[#This Row],[STARTING INVENTORY]]-Table2[[#This Row],[ENDING INVENTORY]]</f>
        <v>39</v>
      </c>
    </row>
    <row r="409" spans="1:13">
      <c r="A409" t="s">
        <v>8</v>
      </c>
      <c r="B409" t="s">
        <v>163</v>
      </c>
      <c r="C409" t="s">
        <v>75</v>
      </c>
      <c r="D409" t="s">
        <v>33</v>
      </c>
      <c r="E409" s="3">
        <v>4</v>
      </c>
      <c r="F409" s="3">
        <v>4.08</v>
      </c>
      <c r="G409">
        <v>1.96</v>
      </c>
      <c r="H409" s="3">
        <v>7.84</v>
      </c>
      <c r="I409">
        <v>147</v>
      </c>
      <c r="J409">
        <v>2</v>
      </c>
      <c r="K409">
        <v>7</v>
      </c>
      <c r="L409" s="13">
        <f>(Table2[[#This Row],[STARTING INVENTORY]]-Table2[[#This Row],[ENDING INVENTORY]])/(Table2[[#This Row],[STARTING INVENTORY]])</f>
        <v>0.95238095238095233</v>
      </c>
      <c r="M409">
        <f>Table2[[#This Row],[STARTING INVENTORY]]-Table2[[#This Row],[ENDING INVENTORY]]</f>
        <v>140</v>
      </c>
    </row>
    <row r="410" spans="1:13">
      <c r="A410" t="s">
        <v>8</v>
      </c>
      <c r="B410" t="s">
        <v>163</v>
      </c>
      <c r="C410" t="s">
        <v>81</v>
      </c>
      <c r="D410" t="s">
        <v>33</v>
      </c>
      <c r="E410" s="3">
        <v>0.8</v>
      </c>
      <c r="F410" s="3">
        <v>0.81600000000000006</v>
      </c>
      <c r="G410">
        <v>1.99</v>
      </c>
      <c r="H410" s="3">
        <v>1.5920000000000001</v>
      </c>
      <c r="I410">
        <v>115</v>
      </c>
      <c r="J410">
        <v>2</v>
      </c>
      <c r="K410">
        <v>24</v>
      </c>
      <c r="L410" s="13">
        <f>(Table2[[#This Row],[STARTING INVENTORY]]-Table2[[#This Row],[ENDING INVENTORY]])/(Table2[[#This Row],[STARTING INVENTORY]])</f>
        <v>0.79130434782608694</v>
      </c>
      <c r="M410">
        <f>Table2[[#This Row],[STARTING INVENTORY]]-Table2[[#This Row],[ENDING INVENTORY]]</f>
        <v>91</v>
      </c>
    </row>
    <row r="411" spans="1:13">
      <c r="A411" t="s">
        <v>8</v>
      </c>
      <c r="B411" t="s">
        <v>163</v>
      </c>
      <c r="C411" t="s">
        <v>87</v>
      </c>
      <c r="D411" t="s">
        <v>33</v>
      </c>
      <c r="E411" s="3">
        <v>4.25</v>
      </c>
      <c r="F411" s="3">
        <v>4.335</v>
      </c>
      <c r="G411">
        <v>2.0099999999999998</v>
      </c>
      <c r="H411" s="3">
        <v>8.5424999999999986</v>
      </c>
      <c r="I411">
        <v>81</v>
      </c>
      <c r="J411">
        <v>0</v>
      </c>
      <c r="K411">
        <v>45</v>
      </c>
      <c r="L411" s="13">
        <f>(Table2[[#This Row],[STARTING INVENTORY]]-Table2[[#This Row],[ENDING INVENTORY]])/(Table2[[#This Row],[STARTING INVENTORY]])</f>
        <v>0.44444444444444442</v>
      </c>
      <c r="M411">
        <f>Table2[[#This Row],[STARTING INVENTORY]]-Table2[[#This Row],[ENDING INVENTORY]]</f>
        <v>36</v>
      </c>
    </row>
    <row r="412" spans="1:13">
      <c r="A412" t="s">
        <v>8</v>
      </c>
      <c r="B412" t="s">
        <v>163</v>
      </c>
      <c r="C412" t="s">
        <v>93</v>
      </c>
      <c r="D412" t="s">
        <v>33</v>
      </c>
      <c r="E412" s="3">
        <v>1.6</v>
      </c>
      <c r="F412" s="3">
        <v>1.6320000000000001</v>
      </c>
      <c r="G412">
        <v>2.08</v>
      </c>
      <c r="H412" s="3">
        <v>3.3280000000000003</v>
      </c>
      <c r="I412">
        <v>136</v>
      </c>
      <c r="J412">
        <v>0</v>
      </c>
      <c r="K412">
        <v>86</v>
      </c>
      <c r="L412" s="13">
        <f>(Table2[[#This Row],[STARTING INVENTORY]]-Table2[[#This Row],[ENDING INVENTORY]])/(Table2[[#This Row],[STARTING INVENTORY]])</f>
        <v>0.36764705882352944</v>
      </c>
      <c r="M412">
        <f>Table2[[#This Row],[STARTING INVENTORY]]-Table2[[#This Row],[ENDING INVENTORY]]</f>
        <v>50</v>
      </c>
    </row>
    <row r="413" spans="1:13">
      <c r="A413" t="s">
        <v>8</v>
      </c>
      <c r="B413" t="s">
        <v>163</v>
      </c>
      <c r="C413" t="s">
        <v>99</v>
      </c>
      <c r="D413" t="s">
        <v>33</v>
      </c>
      <c r="E413" s="3">
        <v>1.65</v>
      </c>
      <c r="F413" s="3">
        <v>1.6829999999999998</v>
      </c>
      <c r="G413">
        <v>1.99</v>
      </c>
      <c r="H413" s="3">
        <v>3.2834999999999996</v>
      </c>
      <c r="I413">
        <v>112</v>
      </c>
      <c r="J413">
        <v>0</v>
      </c>
      <c r="K413">
        <v>29</v>
      </c>
      <c r="L413" s="13">
        <f>(Table2[[#This Row],[STARTING INVENTORY]]-Table2[[#This Row],[ENDING INVENTORY]])/(Table2[[#This Row],[STARTING INVENTORY]])</f>
        <v>0.7410714285714286</v>
      </c>
      <c r="M413">
        <f>Table2[[#This Row],[STARTING INVENTORY]]-Table2[[#This Row],[ENDING INVENTORY]]</f>
        <v>83</v>
      </c>
    </row>
    <row r="414" spans="1:13">
      <c r="A414" t="s">
        <v>8</v>
      </c>
      <c r="B414" t="s">
        <v>163</v>
      </c>
      <c r="C414" t="s">
        <v>105</v>
      </c>
      <c r="D414" t="s">
        <v>33</v>
      </c>
      <c r="E414" s="3">
        <v>2.2000000000000002</v>
      </c>
      <c r="F414" s="3">
        <v>2.2440000000000002</v>
      </c>
      <c r="G414">
        <v>1.99</v>
      </c>
      <c r="H414" s="3">
        <v>4.3780000000000001</v>
      </c>
      <c r="I414">
        <v>135</v>
      </c>
      <c r="J414">
        <v>0</v>
      </c>
      <c r="K414">
        <v>83</v>
      </c>
      <c r="L414" s="13">
        <f>(Table2[[#This Row],[STARTING INVENTORY]]-Table2[[#This Row],[ENDING INVENTORY]])/(Table2[[#This Row],[STARTING INVENTORY]])</f>
        <v>0.38518518518518519</v>
      </c>
      <c r="M414">
        <f>Table2[[#This Row],[STARTING INVENTORY]]-Table2[[#This Row],[ENDING INVENTORY]]</f>
        <v>52</v>
      </c>
    </row>
    <row r="415" spans="1:13">
      <c r="A415" t="s">
        <v>8</v>
      </c>
      <c r="B415" t="s">
        <v>163</v>
      </c>
      <c r="C415" t="s">
        <v>111</v>
      </c>
      <c r="D415" t="s">
        <v>33</v>
      </c>
      <c r="E415" s="3">
        <v>4</v>
      </c>
      <c r="F415" s="3">
        <v>4.08</v>
      </c>
      <c r="G415">
        <v>2.02</v>
      </c>
      <c r="H415" s="3">
        <v>8.08</v>
      </c>
      <c r="I415">
        <v>100</v>
      </c>
      <c r="J415">
        <v>2</v>
      </c>
      <c r="K415">
        <v>81</v>
      </c>
      <c r="L415" s="13">
        <f>(Table2[[#This Row],[STARTING INVENTORY]]-Table2[[#This Row],[ENDING INVENTORY]])/(Table2[[#This Row],[STARTING INVENTORY]])</f>
        <v>0.19</v>
      </c>
      <c r="M415">
        <f>Table2[[#This Row],[STARTING INVENTORY]]-Table2[[#This Row],[ENDING INVENTORY]]</f>
        <v>19</v>
      </c>
    </row>
    <row r="416" spans="1:13">
      <c r="A416" t="s">
        <v>8</v>
      </c>
      <c r="B416" t="s">
        <v>163</v>
      </c>
      <c r="C416" t="s">
        <v>117</v>
      </c>
      <c r="D416" t="s">
        <v>33</v>
      </c>
      <c r="E416" s="3">
        <v>5.25</v>
      </c>
      <c r="F416" s="3">
        <v>5.3550000000000004</v>
      </c>
      <c r="G416">
        <v>1.99</v>
      </c>
      <c r="H416" s="3">
        <v>10.4475</v>
      </c>
      <c r="I416">
        <v>74</v>
      </c>
      <c r="J416">
        <v>2</v>
      </c>
      <c r="K416">
        <v>17</v>
      </c>
      <c r="L416" s="13">
        <f>(Table2[[#This Row],[STARTING INVENTORY]]-Table2[[#This Row],[ENDING INVENTORY]])/(Table2[[#This Row],[STARTING INVENTORY]])</f>
        <v>0.77027027027027029</v>
      </c>
      <c r="M416">
        <f>Table2[[#This Row],[STARTING INVENTORY]]-Table2[[#This Row],[ENDING INVENTORY]]</f>
        <v>57</v>
      </c>
    </row>
    <row r="417" spans="1:13">
      <c r="A417" t="s">
        <v>8</v>
      </c>
      <c r="B417" t="s">
        <v>163</v>
      </c>
      <c r="C417" t="s">
        <v>123</v>
      </c>
      <c r="D417" t="s">
        <v>33</v>
      </c>
      <c r="E417" s="3">
        <v>2</v>
      </c>
      <c r="F417" s="3">
        <v>2.04</v>
      </c>
      <c r="G417">
        <v>1.98</v>
      </c>
      <c r="H417" s="3">
        <v>3.96</v>
      </c>
      <c r="I417">
        <v>107</v>
      </c>
      <c r="J417">
        <v>0</v>
      </c>
      <c r="K417">
        <v>65</v>
      </c>
      <c r="L417" s="13">
        <f>(Table2[[#This Row],[STARTING INVENTORY]]-Table2[[#This Row],[ENDING INVENTORY]])/(Table2[[#This Row],[STARTING INVENTORY]])</f>
        <v>0.3925233644859813</v>
      </c>
      <c r="M417">
        <f>Table2[[#This Row],[STARTING INVENTORY]]-Table2[[#This Row],[ENDING INVENTORY]]</f>
        <v>42</v>
      </c>
    </row>
    <row r="418" spans="1:13">
      <c r="A418" t="s">
        <v>8</v>
      </c>
      <c r="B418" t="s">
        <v>163</v>
      </c>
      <c r="C418" t="s">
        <v>129</v>
      </c>
      <c r="D418" t="s">
        <v>33</v>
      </c>
      <c r="E418" s="3">
        <v>2.8</v>
      </c>
      <c r="F418" s="3">
        <v>2.8559999999999999</v>
      </c>
      <c r="G418">
        <v>2.1</v>
      </c>
      <c r="H418" s="3">
        <v>5.88</v>
      </c>
      <c r="I418">
        <v>112</v>
      </c>
      <c r="J418">
        <v>5</v>
      </c>
      <c r="K418">
        <v>67</v>
      </c>
      <c r="L418" s="13">
        <f>(Table2[[#This Row],[STARTING INVENTORY]]-Table2[[#This Row],[ENDING INVENTORY]])/(Table2[[#This Row],[STARTING INVENTORY]])</f>
        <v>0.4017857142857143</v>
      </c>
      <c r="M418">
        <f>Table2[[#This Row],[STARTING INVENTORY]]-Table2[[#This Row],[ENDING INVENTORY]]</f>
        <v>45</v>
      </c>
    </row>
    <row r="419" spans="1:13">
      <c r="A419" t="s">
        <v>8</v>
      </c>
      <c r="B419" t="s">
        <v>163</v>
      </c>
      <c r="C419" t="s">
        <v>135</v>
      </c>
      <c r="D419" t="s">
        <v>33</v>
      </c>
      <c r="E419" s="3">
        <v>1.35</v>
      </c>
      <c r="F419" s="3">
        <v>1.3770000000000002</v>
      </c>
      <c r="G419">
        <v>2.09</v>
      </c>
      <c r="H419" s="3">
        <v>2.8214999999999999</v>
      </c>
      <c r="I419">
        <v>111</v>
      </c>
      <c r="J419">
        <v>1</v>
      </c>
      <c r="K419">
        <v>93</v>
      </c>
      <c r="L419" s="13">
        <f>(Table2[[#This Row],[STARTING INVENTORY]]-Table2[[#This Row],[ENDING INVENTORY]])/(Table2[[#This Row],[STARTING INVENTORY]])</f>
        <v>0.16216216216216217</v>
      </c>
      <c r="M419">
        <f>Table2[[#This Row],[STARTING INVENTORY]]-Table2[[#This Row],[ENDING INVENTORY]]</f>
        <v>18</v>
      </c>
    </row>
    <row r="420" spans="1:13">
      <c r="A420" t="s">
        <v>8</v>
      </c>
      <c r="B420" t="s">
        <v>163</v>
      </c>
      <c r="C420" t="s">
        <v>141</v>
      </c>
      <c r="D420" t="s">
        <v>33</v>
      </c>
      <c r="E420" s="3">
        <v>2.25</v>
      </c>
      <c r="F420" s="3">
        <v>2.2949999999999999</v>
      </c>
      <c r="G420">
        <v>2.02</v>
      </c>
      <c r="H420" s="3">
        <v>4.5449999999999999</v>
      </c>
      <c r="I420">
        <v>71</v>
      </c>
      <c r="J420">
        <v>7</v>
      </c>
      <c r="K420">
        <v>32</v>
      </c>
      <c r="L420" s="13">
        <f>(Table2[[#This Row],[STARTING INVENTORY]]-Table2[[#This Row],[ENDING INVENTORY]])/(Table2[[#This Row],[STARTING INVENTORY]])</f>
        <v>0.54929577464788737</v>
      </c>
      <c r="M420">
        <f>Table2[[#This Row],[STARTING INVENTORY]]-Table2[[#This Row],[ENDING INVENTORY]]</f>
        <v>39</v>
      </c>
    </row>
    <row r="421" spans="1:13">
      <c r="A421" t="s">
        <v>8</v>
      </c>
      <c r="B421" t="s">
        <v>163</v>
      </c>
      <c r="C421" t="s">
        <v>147</v>
      </c>
      <c r="D421" t="s">
        <v>33</v>
      </c>
      <c r="E421" s="3">
        <v>2.8</v>
      </c>
      <c r="F421" s="3">
        <v>2.8559999999999999</v>
      </c>
      <c r="G421">
        <v>2.0700000000000003</v>
      </c>
      <c r="H421" s="3">
        <v>5.7960000000000003</v>
      </c>
      <c r="I421">
        <v>107</v>
      </c>
      <c r="J421">
        <v>8</v>
      </c>
      <c r="K421">
        <v>35</v>
      </c>
      <c r="L421" s="13">
        <f>(Table2[[#This Row],[STARTING INVENTORY]]-Table2[[#This Row],[ENDING INVENTORY]])/(Table2[[#This Row],[STARTING INVENTORY]])</f>
        <v>0.67289719626168221</v>
      </c>
      <c r="M421">
        <f>Table2[[#This Row],[STARTING INVENTORY]]-Table2[[#This Row],[ENDING INVENTORY]]</f>
        <v>72</v>
      </c>
    </row>
    <row r="422" spans="1:13">
      <c r="A422" t="s">
        <v>8</v>
      </c>
      <c r="B422" t="s">
        <v>164</v>
      </c>
      <c r="C422" t="s">
        <v>31</v>
      </c>
      <c r="D422" t="s">
        <v>29</v>
      </c>
      <c r="E422" s="3">
        <v>5.25</v>
      </c>
      <c r="F422" s="3">
        <v>5.3550000000000004</v>
      </c>
      <c r="G422">
        <v>2.0300000000000002</v>
      </c>
      <c r="H422" s="3">
        <v>10.657500000000001</v>
      </c>
      <c r="I422">
        <v>87</v>
      </c>
      <c r="J422">
        <v>0</v>
      </c>
      <c r="K422">
        <v>81</v>
      </c>
      <c r="L422" s="13">
        <f>(Table2[[#This Row],[STARTING INVENTORY]]-Table2[[#This Row],[ENDING INVENTORY]])/(Table2[[#This Row],[STARTING INVENTORY]])</f>
        <v>6.8965517241379309E-2</v>
      </c>
      <c r="M422">
        <f>Table2[[#This Row],[STARTING INVENTORY]]-Table2[[#This Row],[ENDING INVENTORY]]</f>
        <v>6</v>
      </c>
    </row>
    <row r="423" spans="1:13">
      <c r="A423" t="s">
        <v>8</v>
      </c>
      <c r="B423" t="s">
        <v>164</v>
      </c>
      <c r="C423" t="s">
        <v>38</v>
      </c>
      <c r="D423" t="s">
        <v>29</v>
      </c>
      <c r="E423" s="3">
        <v>4.75</v>
      </c>
      <c r="F423" s="3">
        <v>4.8449999999999998</v>
      </c>
      <c r="G423">
        <v>2.02</v>
      </c>
      <c r="H423" s="3">
        <v>9.5950000000000006</v>
      </c>
      <c r="I423">
        <v>115</v>
      </c>
      <c r="J423">
        <v>2</v>
      </c>
      <c r="K423">
        <v>100</v>
      </c>
      <c r="L423" s="13">
        <f>(Table2[[#This Row],[STARTING INVENTORY]]-Table2[[#This Row],[ENDING INVENTORY]])/(Table2[[#This Row],[STARTING INVENTORY]])</f>
        <v>0.13043478260869565</v>
      </c>
      <c r="M423">
        <f>Table2[[#This Row],[STARTING INVENTORY]]-Table2[[#This Row],[ENDING INVENTORY]]</f>
        <v>15</v>
      </c>
    </row>
    <row r="424" spans="1:13">
      <c r="A424" t="s">
        <v>8</v>
      </c>
      <c r="B424" t="s">
        <v>164</v>
      </c>
      <c r="C424" t="s">
        <v>44</v>
      </c>
      <c r="D424" t="s">
        <v>29</v>
      </c>
      <c r="E424" s="3">
        <v>6.5</v>
      </c>
      <c r="F424" s="3">
        <v>6.63</v>
      </c>
      <c r="G424">
        <v>2.0300000000000002</v>
      </c>
      <c r="H424" s="3">
        <v>13.195000000000002</v>
      </c>
      <c r="I424">
        <v>78</v>
      </c>
      <c r="J424">
        <v>0</v>
      </c>
      <c r="K424">
        <v>18</v>
      </c>
      <c r="L424" s="13">
        <f>(Table2[[#This Row],[STARTING INVENTORY]]-Table2[[#This Row],[ENDING INVENTORY]])/(Table2[[#This Row],[STARTING INVENTORY]])</f>
        <v>0.76923076923076927</v>
      </c>
      <c r="M424">
        <f>Table2[[#This Row],[STARTING INVENTORY]]-Table2[[#This Row],[ENDING INVENTORY]]</f>
        <v>60</v>
      </c>
    </row>
    <row r="425" spans="1:13">
      <c r="A425" t="s">
        <v>8</v>
      </c>
      <c r="B425" t="s">
        <v>164</v>
      </c>
      <c r="C425" t="s">
        <v>50</v>
      </c>
      <c r="D425" t="s">
        <v>29</v>
      </c>
      <c r="E425" s="3">
        <v>5.75</v>
      </c>
      <c r="F425" s="3">
        <v>5.8650000000000002</v>
      </c>
      <c r="G425">
        <v>2.06</v>
      </c>
      <c r="H425" s="3">
        <v>11.845000000000001</v>
      </c>
      <c r="I425">
        <v>81</v>
      </c>
      <c r="J425">
        <v>2</v>
      </c>
      <c r="K425">
        <v>27</v>
      </c>
      <c r="L425" s="13">
        <f>(Table2[[#This Row],[STARTING INVENTORY]]-Table2[[#This Row],[ENDING INVENTORY]])/(Table2[[#This Row],[STARTING INVENTORY]])</f>
        <v>0.66666666666666663</v>
      </c>
      <c r="M425">
        <f>Table2[[#This Row],[STARTING INVENTORY]]-Table2[[#This Row],[ENDING INVENTORY]]</f>
        <v>54</v>
      </c>
    </row>
    <row r="426" spans="1:13">
      <c r="A426" t="s">
        <v>8</v>
      </c>
      <c r="B426" t="s">
        <v>164</v>
      </c>
      <c r="C426" t="s">
        <v>56</v>
      </c>
      <c r="D426" t="s">
        <v>29</v>
      </c>
      <c r="E426" s="3">
        <v>5.5</v>
      </c>
      <c r="F426" s="3">
        <v>5.61</v>
      </c>
      <c r="G426">
        <v>2</v>
      </c>
      <c r="H426" s="3">
        <v>11</v>
      </c>
      <c r="I426">
        <v>71</v>
      </c>
      <c r="J426">
        <v>3</v>
      </c>
      <c r="K426">
        <v>39</v>
      </c>
      <c r="L426" s="13">
        <f>(Table2[[#This Row],[STARTING INVENTORY]]-Table2[[#This Row],[ENDING INVENTORY]])/(Table2[[#This Row],[STARTING INVENTORY]])</f>
        <v>0.45070422535211269</v>
      </c>
      <c r="M426">
        <f>Table2[[#This Row],[STARTING INVENTORY]]-Table2[[#This Row],[ENDING INVENTORY]]</f>
        <v>32</v>
      </c>
    </row>
    <row r="427" spans="1:13">
      <c r="A427" t="s">
        <v>8</v>
      </c>
      <c r="B427" t="s">
        <v>164</v>
      </c>
      <c r="C427" t="s">
        <v>62</v>
      </c>
      <c r="D427" t="s">
        <v>29</v>
      </c>
      <c r="E427" s="3">
        <v>4.25</v>
      </c>
      <c r="F427" s="3">
        <v>4.335</v>
      </c>
      <c r="G427">
        <v>1.97</v>
      </c>
      <c r="H427" s="3">
        <v>8.3725000000000005</v>
      </c>
      <c r="I427">
        <v>99</v>
      </c>
      <c r="J427">
        <v>0</v>
      </c>
      <c r="K427">
        <v>83</v>
      </c>
      <c r="L427" s="13">
        <f>(Table2[[#This Row],[STARTING INVENTORY]]-Table2[[#This Row],[ENDING INVENTORY]])/(Table2[[#This Row],[STARTING INVENTORY]])</f>
        <v>0.16161616161616163</v>
      </c>
      <c r="M427">
        <f>Table2[[#This Row],[STARTING INVENTORY]]-Table2[[#This Row],[ENDING INVENTORY]]</f>
        <v>16</v>
      </c>
    </row>
    <row r="428" spans="1:13">
      <c r="A428" t="s">
        <v>8</v>
      </c>
      <c r="B428" t="s">
        <v>164</v>
      </c>
      <c r="C428" t="s">
        <v>68</v>
      </c>
      <c r="D428" t="s">
        <v>29</v>
      </c>
      <c r="E428" s="3">
        <v>5.0999999999999996</v>
      </c>
      <c r="F428" s="3">
        <v>5.202</v>
      </c>
      <c r="G428">
        <v>2.0499999999999998</v>
      </c>
      <c r="H428" s="3">
        <v>10.454999999999998</v>
      </c>
      <c r="I428">
        <v>44</v>
      </c>
      <c r="J428">
        <v>2</v>
      </c>
      <c r="K428">
        <v>32</v>
      </c>
      <c r="L428" s="13">
        <f>(Table2[[#This Row],[STARTING INVENTORY]]-Table2[[#This Row],[ENDING INVENTORY]])/(Table2[[#This Row],[STARTING INVENTORY]])</f>
        <v>0.27272727272727271</v>
      </c>
      <c r="M428">
        <f>Table2[[#This Row],[STARTING INVENTORY]]-Table2[[#This Row],[ENDING INVENTORY]]</f>
        <v>12</v>
      </c>
    </row>
    <row r="429" spans="1:13">
      <c r="A429" t="s">
        <v>8</v>
      </c>
      <c r="B429" t="s">
        <v>164</v>
      </c>
      <c r="C429" t="s">
        <v>74</v>
      </c>
      <c r="D429" t="s">
        <v>29</v>
      </c>
      <c r="E429" s="3">
        <v>2.8</v>
      </c>
      <c r="F429" s="3">
        <v>2.8559999999999999</v>
      </c>
      <c r="G429">
        <v>2.0700000000000003</v>
      </c>
      <c r="H429" s="3">
        <v>5.7960000000000003</v>
      </c>
      <c r="I429">
        <v>83</v>
      </c>
      <c r="J429">
        <v>0</v>
      </c>
      <c r="K429">
        <v>75</v>
      </c>
      <c r="L429" s="13">
        <f>(Table2[[#This Row],[STARTING INVENTORY]]-Table2[[#This Row],[ENDING INVENTORY]])/(Table2[[#This Row],[STARTING INVENTORY]])</f>
        <v>9.6385542168674704E-2</v>
      </c>
      <c r="M429">
        <f>Table2[[#This Row],[STARTING INVENTORY]]-Table2[[#This Row],[ENDING INVENTORY]]</f>
        <v>8</v>
      </c>
    </row>
    <row r="430" spans="1:13">
      <c r="A430" t="s">
        <v>8</v>
      </c>
      <c r="B430" t="s">
        <v>164</v>
      </c>
      <c r="C430" t="s">
        <v>80</v>
      </c>
      <c r="D430" t="s">
        <v>29</v>
      </c>
      <c r="E430" s="3">
        <v>4</v>
      </c>
      <c r="F430" s="3">
        <v>4.08</v>
      </c>
      <c r="G430">
        <v>1.97</v>
      </c>
      <c r="H430" s="3">
        <v>7.88</v>
      </c>
      <c r="I430">
        <v>89</v>
      </c>
      <c r="J430">
        <v>0</v>
      </c>
      <c r="K430">
        <v>14</v>
      </c>
      <c r="L430" s="13">
        <f>(Table2[[#This Row],[STARTING INVENTORY]]-Table2[[#This Row],[ENDING INVENTORY]])/(Table2[[#This Row],[STARTING INVENTORY]])</f>
        <v>0.84269662921348309</v>
      </c>
      <c r="M430">
        <f>Table2[[#This Row],[STARTING INVENTORY]]-Table2[[#This Row],[ENDING INVENTORY]]</f>
        <v>75</v>
      </c>
    </row>
    <row r="431" spans="1:13">
      <c r="A431" t="s">
        <v>8</v>
      </c>
      <c r="B431" t="s">
        <v>164</v>
      </c>
      <c r="C431" t="s">
        <v>86</v>
      </c>
      <c r="D431" t="s">
        <v>29</v>
      </c>
      <c r="E431" s="3">
        <v>9</v>
      </c>
      <c r="F431" s="3">
        <v>9.18</v>
      </c>
      <c r="G431">
        <v>2.0300000000000002</v>
      </c>
      <c r="H431" s="3">
        <v>18.270000000000003</v>
      </c>
      <c r="I431">
        <v>37</v>
      </c>
      <c r="J431">
        <v>3</v>
      </c>
      <c r="K431">
        <v>1</v>
      </c>
      <c r="L431" s="13">
        <f>(Table2[[#This Row],[STARTING INVENTORY]]-Table2[[#This Row],[ENDING INVENTORY]])/(Table2[[#This Row],[STARTING INVENTORY]])</f>
        <v>0.97297297297297303</v>
      </c>
      <c r="M431">
        <f>Table2[[#This Row],[STARTING INVENTORY]]-Table2[[#This Row],[ENDING INVENTORY]]</f>
        <v>36</v>
      </c>
    </row>
    <row r="432" spans="1:13">
      <c r="A432" t="s">
        <v>8</v>
      </c>
      <c r="B432" t="s">
        <v>164</v>
      </c>
      <c r="C432" t="s">
        <v>92</v>
      </c>
      <c r="D432" t="s">
        <v>29</v>
      </c>
      <c r="E432" s="3">
        <v>2.75</v>
      </c>
      <c r="F432" s="3">
        <v>2.8050000000000002</v>
      </c>
      <c r="G432">
        <v>1.96</v>
      </c>
      <c r="H432" s="3">
        <v>5.39</v>
      </c>
      <c r="I432">
        <v>82</v>
      </c>
      <c r="J432">
        <v>1</v>
      </c>
      <c r="K432">
        <v>62</v>
      </c>
      <c r="L432" s="13">
        <f>(Table2[[#This Row],[STARTING INVENTORY]]-Table2[[#This Row],[ENDING INVENTORY]])/(Table2[[#This Row],[STARTING INVENTORY]])</f>
        <v>0.24390243902439024</v>
      </c>
      <c r="M432">
        <f>Table2[[#This Row],[STARTING INVENTORY]]-Table2[[#This Row],[ENDING INVENTORY]]</f>
        <v>20</v>
      </c>
    </row>
    <row r="433" spans="1:13">
      <c r="A433" t="s">
        <v>8</v>
      </c>
      <c r="B433" t="s">
        <v>164</v>
      </c>
      <c r="C433" t="s">
        <v>98</v>
      </c>
      <c r="D433" t="s">
        <v>29</v>
      </c>
      <c r="E433" s="3">
        <v>3.9</v>
      </c>
      <c r="F433" s="3">
        <v>3.9779999999999998</v>
      </c>
      <c r="G433">
        <v>2.02</v>
      </c>
      <c r="H433" s="3">
        <v>7.8780000000000001</v>
      </c>
      <c r="I433">
        <v>89</v>
      </c>
      <c r="J433">
        <v>2</v>
      </c>
      <c r="K433">
        <v>28</v>
      </c>
      <c r="L433" s="13">
        <f>(Table2[[#This Row],[STARTING INVENTORY]]-Table2[[#This Row],[ENDING INVENTORY]])/(Table2[[#This Row],[STARTING INVENTORY]])</f>
        <v>0.6853932584269663</v>
      </c>
      <c r="M433">
        <f>Table2[[#This Row],[STARTING INVENTORY]]-Table2[[#This Row],[ENDING INVENTORY]]</f>
        <v>61</v>
      </c>
    </row>
    <row r="434" spans="1:13">
      <c r="A434" t="s">
        <v>8</v>
      </c>
      <c r="B434" t="s">
        <v>164</v>
      </c>
      <c r="C434" t="s">
        <v>104</v>
      </c>
      <c r="D434" t="s">
        <v>29</v>
      </c>
      <c r="E434" s="3">
        <v>4.3</v>
      </c>
      <c r="F434" s="3">
        <v>4.3860000000000001</v>
      </c>
      <c r="G434">
        <v>1.99</v>
      </c>
      <c r="H434" s="3">
        <v>8.5570000000000004</v>
      </c>
      <c r="I434">
        <v>34</v>
      </c>
      <c r="J434">
        <v>1</v>
      </c>
      <c r="K434">
        <v>9</v>
      </c>
      <c r="L434" s="13">
        <f>(Table2[[#This Row],[STARTING INVENTORY]]-Table2[[#This Row],[ENDING INVENTORY]])/(Table2[[#This Row],[STARTING INVENTORY]])</f>
        <v>0.73529411764705888</v>
      </c>
      <c r="M434">
        <f>Table2[[#This Row],[STARTING INVENTORY]]-Table2[[#This Row],[ENDING INVENTORY]]</f>
        <v>25</v>
      </c>
    </row>
    <row r="435" spans="1:13">
      <c r="A435" t="s">
        <v>8</v>
      </c>
      <c r="B435" t="s">
        <v>164</v>
      </c>
      <c r="C435" t="s">
        <v>110</v>
      </c>
      <c r="D435" t="s">
        <v>29</v>
      </c>
      <c r="E435" s="3">
        <v>4</v>
      </c>
      <c r="F435" s="3">
        <v>4.08</v>
      </c>
      <c r="G435">
        <v>2.0099999999999998</v>
      </c>
      <c r="H435" s="3">
        <v>8.0399999999999991</v>
      </c>
      <c r="I435">
        <v>97</v>
      </c>
      <c r="J435">
        <v>9</v>
      </c>
      <c r="K435">
        <v>65</v>
      </c>
      <c r="L435" s="13">
        <f>(Table2[[#This Row],[STARTING INVENTORY]]-Table2[[#This Row],[ENDING INVENTORY]])/(Table2[[#This Row],[STARTING INVENTORY]])</f>
        <v>0.32989690721649484</v>
      </c>
      <c r="M435">
        <f>Table2[[#This Row],[STARTING INVENTORY]]-Table2[[#This Row],[ENDING INVENTORY]]</f>
        <v>32</v>
      </c>
    </row>
    <row r="436" spans="1:13">
      <c r="A436" t="s">
        <v>8</v>
      </c>
      <c r="B436" t="s">
        <v>164</v>
      </c>
      <c r="C436" t="s">
        <v>116</v>
      </c>
      <c r="D436" t="s">
        <v>29</v>
      </c>
      <c r="E436" s="3">
        <v>4.75</v>
      </c>
      <c r="F436" s="3">
        <v>4.8449999999999998</v>
      </c>
      <c r="G436">
        <v>2.0300000000000002</v>
      </c>
      <c r="H436" s="3">
        <v>9.6425000000000018</v>
      </c>
      <c r="I436">
        <v>35</v>
      </c>
      <c r="J436">
        <v>0</v>
      </c>
      <c r="K436">
        <v>10</v>
      </c>
      <c r="L436" s="13">
        <f>(Table2[[#This Row],[STARTING INVENTORY]]-Table2[[#This Row],[ENDING INVENTORY]])/(Table2[[#This Row],[STARTING INVENTORY]])</f>
        <v>0.7142857142857143</v>
      </c>
      <c r="M436">
        <f>Table2[[#This Row],[STARTING INVENTORY]]-Table2[[#This Row],[ENDING INVENTORY]]</f>
        <v>25</v>
      </c>
    </row>
    <row r="437" spans="1:13">
      <c r="A437" t="s">
        <v>8</v>
      </c>
      <c r="B437" t="s">
        <v>164</v>
      </c>
      <c r="C437" t="s">
        <v>122</v>
      </c>
      <c r="D437" t="s">
        <v>29</v>
      </c>
      <c r="E437" s="3">
        <v>2.25</v>
      </c>
      <c r="F437" s="3">
        <v>2.2949999999999999</v>
      </c>
      <c r="G437">
        <v>1.96</v>
      </c>
      <c r="H437" s="3">
        <v>4.41</v>
      </c>
      <c r="I437">
        <v>76</v>
      </c>
      <c r="J437">
        <v>2</v>
      </c>
      <c r="K437">
        <v>9</v>
      </c>
      <c r="L437" s="13">
        <f>(Table2[[#This Row],[STARTING INVENTORY]]-Table2[[#This Row],[ENDING INVENTORY]])/(Table2[[#This Row],[STARTING INVENTORY]])</f>
        <v>0.88157894736842102</v>
      </c>
      <c r="M437">
        <f>Table2[[#This Row],[STARTING INVENTORY]]-Table2[[#This Row],[ENDING INVENTORY]]</f>
        <v>67</v>
      </c>
    </row>
    <row r="438" spans="1:13">
      <c r="A438" t="s">
        <v>8</v>
      </c>
      <c r="B438" t="s">
        <v>164</v>
      </c>
      <c r="C438" t="s">
        <v>128</v>
      </c>
      <c r="D438" t="s">
        <v>29</v>
      </c>
      <c r="E438" s="3">
        <v>2.1</v>
      </c>
      <c r="F438" s="3">
        <v>2.1420000000000003</v>
      </c>
      <c r="G438">
        <v>1.98</v>
      </c>
      <c r="H438" s="3">
        <v>4.1580000000000004</v>
      </c>
      <c r="I438">
        <v>84</v>
      </c>
      <c r="J438">
        <v>3</v>
      </c>
      <c r="K438">
        <v>13</v>
      </c>
      <c r="L438" s="13">
        <f>(Table2[[#This Row],[STARTING INVENTORY]]-Table2[[#This Row],[ENDING INVENTORY]])/(Table2[[#This Row],[STARTING INVENTORY]])</f>
        <v>0.84523809523809523</v>
      </c>
      <c r="M438">
        <f>Table2[[#This Row],[STARTING INVENTORY]]-Table2[[#This Row],[ENDING INVENTORY]]</f>
        <v>71</v>
      </c>
    </row>
    <row r="439" spans="1:13">
      <c r="A439" t="s">
        <v>8</v>
      </c>
      <c r="B439" t="s">
        <v>164</v>
      </c>
      <c r="C439" t="s">
        <v>134</v>
      </c>
      <c r="D439" t="s">
        <v>29</v>
      </c>
      <c r="E439" s="3">
        <v>2</v>
      </c>
      <c r="F439" s="3">
        <v>2.04</v>
      </c>
      <c r="G439">
        <v>2</v>
      </c>
      <c r="H439" s="3">
        <v>4</v>
      </c>
      <c r="I439">
        <v>69</v>
      </c>
      <c r="J439">
        <v>1</v>
      </c>
      <c r="K439">
        <v>50</v>
      </c>
      <c r="L439" s="13">
        <f>(Table2[[#This Row],[STARTING INVENTORY]]-Table2[[#This Row],[ENDING INVENTORY]])/(Table2[[#This Row],[STARTING INVENTORY]])</f>
        <v>0.27536231884057971</v>
      </c>
      <c r="M439">
        <f>Table2[[#This Row],[STARTING INVENTORY]]-Table2[[#This Row],[ENDING INVENTORY]]</f>
        <v>19</v>
      </c>
    </row>
    <row r="440" spans="1:13">
      <c r="A440" t="s">
        <v>8</v>
      </c>
      <c r="B440" t="s">
        <v>164</v>
      </c>
      <c r="C440" t="s">
        <v>140</v>
      </c>
      <c r="D440" t="s">
        <v>33</v>
      </c>
      <c r="E440" s="3">
        <v>4.5</v>
      </c>
      <c r="F440" s="3">
        <v>4.59</v>
      </c>
      <c r="G440">
        <v>1.97</v>
      </c>
      <c r="H440" s="3">
        <v>8.8650000000000002</v>
      </c>
      <c r="I440">
        <v>81</v>
      </c>
      <c r="J440">
        <v>9</v>
      </c>
      <c r="K440">
        <v>72</v>
      </c>
      <c r="L440" s="13">
        <f>(Table2[[#This Row],[STARTING INVENTORY]]-Table2[[#This Row],[ENDING INVENTORY]])/(Table2[[#This Row],[STARTING INVENTORY]])</f>
        <v>0.1111111111111111</v>
      </c>
      <c r="M440">
        <f>Table2[[#This Row],[STARTING INVENTORY]]-Table2[[#This Row],[ENDING INVENTORY]]</f>
        <v>9</v>
      </c>
    </row>
    <row r="441" spans="1:13">
      <c r="A441" t="s">
        <v>8</v>
      </c>
      <c r="B441" t="s">
        <v>164</v>
      </c>
      <c r="C441" t="s">
        <v>146</v>
      </c>
      <c r="D441" t="s">
        <v>33</v>
      </c>
      <c r="E441" s="3">
        <v>3.75</v>
      </c>
      <c r="F441" s="3">
        <v>3.8250000000000002</v>
      </c>
      <c r="G441">
        <v>2.04</v>
      </c>
      <c r="H441" s="3">
        <v>7.65</v>
      </c>
      <c r="I441">
        <v>45</v>
      </c>
      <c r="J441">
        <v>4</v>
      </c>
      <c r="K441">
        <v>38</v>
      </c>
      <c r="L441" s="13">
        <f>(Table2[[#This Row],[STARTING INVENTORY]]-Table2[[#This Row],[ENDING INVENTORY]])/(Table2[[#This Row],[STARTING INVENTORY]])</f>
        <v>0.15555555555555556</v>
      </c>
      <c r="M441">
        <f>Table2[[#This Row],[STARTING INVENTORY]]-Table2[[#This Row],[ENDING INVENTORY]]</f>
        <v>7</v>
      </c>
    </row>
    <row r="442" spans="1:13">
      <c r="A442" t="s">
        <v>8</v>
      </c>
      <c r="B442" t="s">
        <v>165</v>
      </c>
      <c r="C442" t="s">
        <v>35</v>
      </c>
      <c r="D442" t="s">
        <v>33</v>
      </c>
      <c r="E442" s="3">
        <v>2</v>
      </c>
      <c r="F442" s="3">
        <v>2.04</v>
      </c>
      <c r="G442">
        <v>2.04</v>
      </c>
      <c r="H442" s="3">
        <v>4.08</v>
      </c>
      <c r="I442">
        <v>72</v>
      </c>
      <c r="J442">
        <v>3</v>
      </c>
      <c r="K442">
        <v>27</v>
      </c>
      <c r="L442" s="13">
        <f>(Table2[[#This Row],[STARTING INVENTORY]]-Table2[[#This Row],[ENDING INVENTORY]])/(Table2[[#This Row],[STARTING INVENTORY]])</f>
        <v>0.625</v>
      </c>
      <c r="M442">
        <f>Table2[[#This Row],[STARTING INVENTORY]]-Table2[[#This Row],[ENDING INVENTORY]]</f>
        <v>45</v>
      </c>
    </row>
    <row r="443" spans="1:13">
      <c r="A443" t="s">
        <v>8</v>
      </c>
      <c r="B443" t="s">
        <v>165</v>
      </c>
      <c r="C443" t="s">
        <v>41</v>
      </c>
      <c r="D443" t="s">
        <v>33</v>
      </c>
      <c r="E443" s="3">
        <v>1.95</v>
      </c>
      <c r="F443" s="3">
        <v>1.9889999999999999</v>
      </c>
      <c r="G443">
        <v>2</v>
      </c>
      <c r="H443" s="3">
        <v>3.9</v>
      </c>
      <c r="I443">
        <v>173</v>
      </c>
      <c r="J443">
        <v>4</v>
      </c>
      <c r="K443">
        <v>2</v>
      </c>
      <c r="L443" s="13">
        <f>(Table2[[#This Row],[STARTING INVENTORY]]-Table2[[#This Row],[ENDING INVENTORY]])/(Table2[[#This Row],[STARTING INVENTORY]])</f>
        <v>0.98843930635838151</v>
      </c>
      <c r="M443">
        <f>Table2[[#This Row],[STARTING INVENTORY]]-Table2[[#This Row],[ENDING INVENTORY]]</f>
        <v>171</v>
      </c>
    </row>
    <row r="444" spans="1:13">
      <c r="A444" t="s">
        <v>8</v>
      </c>
      <c r="B444" t="s">
        <v>165</v>
      </c>
      <c r="C444" t="s">
        <v>47</v>
      </c>
      <c r="D444" t="s">
        <v>33</v>
      </c>
      <c r="E444" s="3">
        <v>1.9</v>
      </c>
      <c r="F444" s="3">
        <v>1.9379999999999999</v>
      </c>
      <c r="G444">
        <v>2.06</v>
      </c>
      <c r="H444" s="3">
        <v>3.9139999999999997</v>
      </c>
      <c r="I444">
        <v>165</v>
      </c>
      <c r="J444">
        <v>8</v>
      </c>
      <c r="K444">
        <v>83</v>
      </c>
      <c r="L444" s="13">
        <f>(Table2[[#This Row],[STARTING INVENTORY]]-Table2[[#This Row],[ENDING INVENTORY]])/(Table2[[#This Row],[STARTING INVENTORY]])</f>
        <v>0.49696969696969695</v>
      </c>
      <c r="M444">
        <f>Table2[[#This Row],[STARTING INVENTORY]]-Table2[[#This Row],[ENDING INVENTORY]]</f>
        <v>82</v>
      </c>
    </row>
    <row r="445" spans="1:13">
      <c r="A445" t="s">
        <v>8</v>
      </c>
      <c r="B445" t="s">
        <v>165</v>
      </c>
      <c r="C445" t="s">
        <v>53</v>
      </c>
      <c r="D445" t="s">
        <v>33</v>
      </c>
      <c r="E445" s="3">
        <v>3.1</v>
      </c>
      <c r="F445" s="3">
        <v>3.1620000000000004</v>
      </c>
      <c r="G445">
        <v>2.02</v>
      </c>
      <c r="H445" s="3">
        <v>6.2620000000000005</v>
      </c>
      <c r="I445">
        <v>89</v>
      </c>
      <c r="J445">
        <v>7</v>
      </c>
      <c r="K445">
        <v>69</v>
      </c>
      <c r="L445" s="13">
        <f>(Table2[[#This Row],[STARTING INVENTORY]]-Table2[[#This Row],[ENDING INVENTORY]])/(Table2[[#This Row],[STARTING INVENTORY]])</f>
        <v>0.2247191011235955</v>
      </c>
      <c r="M445">
        <f>Table2[[#This Row],[STARTING INVENTORY]]-Table2[[#This Row],[ENDING INVENTORY]]</f>
        <v>20</v>
      </c>
    </row>
    <row r="446" spans="1:13">
      <c r="A446" t="s">
        <v>8</v>
      </c>
      <c r="B446" t="s">
        <v>165</v>
      </c>
      <c r="C446" t="s">
        <v>59</v>
      </c>
      <c r="D446" t="s">
        <v>33</v>
      </c>
      <c r="E446" s="3">
        <v>2</v>
      </c>
      <c r="F446" s="3">
        <v>2.04</v>
      </c>
      <c r="G446">
        <v>2.0099999999999998</v>
      </c>
      <c r="H446" s="3">
        <v>4.0199999999999996</v>
      </c>
      <c r="I446">
        <v>78</v>
      </c>
      <c r="J446">
        <v>4</v>
      </c>
      <c r="K446">
        <v>26</v>
      </c>
      <c r="L446" s="13">
        <f>(Table2[[#This Row],[STARTING INVENTORY]]-Table2[[#This Row],[ENDING INVENTORY]])/(Table2[[#This Row],[STARTING INVENTORY]])</f>
        <v>0.66666666666666663</v>
      </c>
      <c r="M446">
        <f>Table2[[#This Row],[STARTING INVENTORY]]-Table2[[#This Row],[ENDING INVENTORY]]</f>
        <v>52</v>
      </c>
    </row>
    <row r="447" spans="1:13">
      <c r="A447" t="s">
        <v>8</v>
      </c>
      <c r="B447" t="s">
        <v>165</v>
      </c>
      <c r="C447" t="s">
        <v>65</v>
      </c>
      <c r="D447" t="s">
        <v>33</v>
      </c>
      <c r="E447" s="3">
        <v>1.7</v>
      </c>
      <c r="F447" s="3">
        <v>1.734</v>
      </c>
      <c r="G447">
        <v>2.06</v>
      </c>
      <c r="H447" s="3">
        <v>3.5019999999999998</v>
      </c>
      <c r="I447">
        <v>76</v>
      </c>
      <c r="J447">
        <v>4</v>
      </c>
      <c r="K447">
        <v>1</v>
      </c>
      <c r="L447" s="13">
        <f>(Table2[[#This Row],[STARTING INVENTORY]]-Table2[[#This Row],[ENDING INVENTORY]])/(Table2[[#This Row],[STARTING INVENTORY]])</f>
        <v>0.98684210526315785</v>
      </c>
      <c r="M447">
        <f>Table2[[#This Row],[STARTING INVENTORY]]-Table2[[#This Row],[ENDING INVENTORY]]</f>
        <v>75</v>
      </c>
    </row>
    <row r="448" spans="1:13">
      <c r="A448" t="s">
        <v>8</v>
      </c>
      <c r="B448" t="s">
        <v>165</v>
      </c>
      <c r="C448" t="s">
        <v>71</v>
      </c>
      <c r="D448" t="s">
        <v>33</v>
      </c>
      <c r="E448" s="3">
        <v>1.5</v>
      </c>
      <c r="F448" s="3">
        <v>1.53</v>
      </c>
      <c r="G448">
        <v>2.0099999999999998</v>
      </c>
      <c r="H448" s="3">
        <v>3.0149999999999997</v>
      </c>
      <c r="I448">
        <v>179</v>
      </c>
      <c r="J448">
        <v>0</v>
      </c>
      <c r="K448">
        <v>92</v>
      </c>
      <c r="L448" s="13">
        <f>(Table2[[#This Row],[STARTING INVENTORY]]-Table2[[#This Row],[ENDING INVENTORY]])/(Table2[[#This Row],[STARTING INVENTORY]])</f>
        <v>0.48603351955307261</v>
      </c>
      <c r="M448">
        <f>Table2[[#This Row],[STARTING INVENTORY]]-Table2[[#This Row],[ENDING INVENTORY]]</f>
        <v>87</v>
      </c>
    </row>
    <row r="449" spans="1:13">
      <c r="A449" t="s">
        <v>8</v>
      </c>
      <c r="B449" t="s">
        <v>165</v>
      </c>
      <c r="C449" t="s">
        <v>77</v>
      </c>
      <c r="D449" t="s">
        <v>33</v>
      </c>
      <c r="E449" s="3">
        <v>2.65</v>
      </c>
      <c r="F449" s="3">
        <v>2.7029999999999998</v>
      </c>
      <c r="G449">
        <v>2.0300000000000002</v>
      </c>
      <c r="H449" s="3">
        <v>5.3795000000000002</v>
      </c>
      <c r="I449">
        <v>122</v>
      </c>
      <c r="J449">
        <v>0</v>
      </c>
      <c r="K449">
        <v>37</v>
      </c>
      <c r="L449" s="13">
        <f>(Table2[[#This Row],[STARTING INVENTORY]]-Table2[[#This Row],[ENDING INVENTORY]])/(Table2[[#This Row],[STARTING INVENTORY]])</f>
        <v>0.69672131147540983</v>
      </c>
      <c r="M449">
        <f>Table2[[#This Row],[STARTING INVENTORY]]-Table2[[#This Row],[ENDING INVENTORY]]</f>
        <v>85</v>
      </c>
    </row>
    <row r="450" spans="1:13">
      <c r="A450" t="s">
        <v>8</v>
      </c>
      <c r="B450" t="s">
        <v>165</v>
      </c>
      <c r="C450" t="s">
        <v>83</v>
      </c>
      <c r="D450" t="s">
        <v>33</v>
      </c>
      <c r="E450" s="3">
        <v>1.2</v>
      </c>
      <c r="F450" s="3">
        <v>1.224</v>
      </c>
      <c r="G450">
        <v>2.04</v>
      </c>
      <c r="H450" s="3">
        <v>2.448</v>
      </c>
      <c r="I450">
        <v>78</v>
      </c>
      <c r="J450">
        <v>2</v>
      </c>
      <c r="K450">
        <v>2</v>
      </c>
      <c r="L450" s="13">
        <f>(Table2[[#This Row],[STARTING INVENTORY]]-Table2[[#This Row],[ENDING INVENTORY]])/(Table2[[#This Row],[STARTING INVENTORY]])</f>
        <v>0.97435897435897434</v>
      </c>
      <c r="M450">
        <f>Table2[[#This Row],[STARTING INVENTORY]]-Table2[[#This Row],[ENDING INVENTORY]]</f>
        <v>76</v>
      </c>
    </row>
    <row r="451" spans="1:13">
      <c r="A451" t="s">
        <v>8</v>
      </c>
      <c r="B451" t="s">
        <v>165</v>
      </c>
      <c r="C451" t="s">
        <v>89</v>
      </c>
      <c r="D451" t="s">
        <v>33</v>
      </c>
      <c r="E451" s="3">
        <v>1.4</v>
      </c>
      <c r="F451" s="3">
        <v>1.4279999999999999</v>
      </c>
      <c r="G451">
        <v>2.0700000000000003</v>
      </c>
      <c r="H451" s="3">
        <v>2.8980000000000001</v>
      </c>
      <c r="I451">
        <v>151</v>
      </c>
      <c r="J451">
        <v>0</v>
      </c>
      <c r="K451">
        <v>143</v>
      </c>
      <c r="L451" s="13">
        <f>(Table2[[#This Row],[STARTING INVENTORY]]-Table2[[#This Row],[ENDING INVENTORY]])/(Table2[[#This Row],[STARTING INVENTORY]])</f>
        <v>5.2980132450331126E-2</v>
      </c>
      <c r="M451">
        <f>Table2[[#This Row],[STARTING INVENTORY]]-Table2[[#This Row],[ENDING INVENTORY]]</f>
        <v>8</v>
      </c>
    </row>
    <row r="452" spans="1:13">
      <c r="A452" t="s">
        <v>8</v>
      </c>
      <c r="B452" t="s">
        <v>165</v>
      </c>
      <c r="C452" t="s">
        <v>95</v>
      </c>
      <c r="D452" t="s">
        <v>33</v>
      </c>
      <c r="E452" s="3">
        <v>1.6</v>
      </c>
      <c r="F452" s="3">
        <v>1.6320000000000001</v>
      </c>
      <c r="G452">
        <v>1.99</v>
      </c>
      <c r="H452" s="3">
        <v>3.1840000000000002</v>
      </c>
      <c r="I452">
        <v>117</v>
      </c>
      <c r="J452">
        <v>2</v>
      </c>
      <c r="K452">
        <v>93</v>
      </c>
      <c r="L452" s="13">
        <f>(Table2[[#This Row],[STARTING INVENTORY]]-Table2[[#This Row],[ENDING INVENTORY]])/(Table2[[#This Row],[STARTING INVENTORY]])</f>
        <v>0.20512820512820512</v>
      </c>
      <c r="M452">
        <f>Table2[[#This Row],[STARTING INVENTORY]]-Table2[[#This Row],[ENDING INVENTORY]]</f>
        <v>24</v>
      </c>
    </row>
    <row r="453" spans="1:13">
      <c r="A453" t="s">
        <v>8</v>
      </c>
      <c r="B453" t="s">
        <v>165</v>
      </c>
      <c r="C453" t="s">
        <v>101</v>
      </c>
      <c r="D453" t="s">
        <v>33</v>
      </c>
      <c r="E453" s="3">
        <v>0.7</v>
      </c>
      <c r="F453" s="3">
        <v>0.71399999999999997</v>
      </c>
      <c r="G453">
        <v>2.0099999999999998</v>
      </c>
      <c r="H453" s="3">
        <v>1.4069999999999998</v>
      </c>
      <c r="I453">
        <v>114</v>
      </c>
      <c r="J453">
        <v>0</v>
      </c>
      <c r="K453">
        <v>39</v>
      </c>
      <c r="L453" s="13">
        <f>(Table2[[#This Row],[STARTING INVENTORY]]-Table2[[#This Row],[ENDING INVENTORY]])/(Table2[[#This Row],[STARTING INVENTORY]])</f>
        <v>0.65789473684210531</v>
      </c>
      <c r="M453">
        <f>Table2[[#This Row],[STARTING INVENTORY]]-Table2[[#This Row],[ENDING INVENTORY]]</f>
        <v>75</v>
      </c>
    </row>
    <row r="454" spans="1:13">
      <c r="A454" t="s">
        <v>8</v>
      </c>
      <c r="B454" t="s">
        <v>165</v>
      </c>
      <c r="C454" t="s">
        <v>107</v>
      </c>
      <c r="D454" t="s">
        <v>33</v>
      </c>
      <c r="E454" s="3">
        <v>0.55000000000000004</v>
      </c>
      <c r="F454" s="3">
        <v>0.56100000000000005</v>
      </c>
      <c r="G454">
        <v>2.08</v>
      </c>
      <c r="H454" s="3">
        <v>1.1440000000000001</v>
      </c>
      <c r="I454">
        <v>149</v>
      </c>
      <c r="J454">
        <v>1</v>
      </c>
      <c r="K454">
        <v>1</v>
      </c>
      <c r="L454" s="13">
        <f>(Table2[[#This Row],[STARTING INVENTORY]]-Table2[[#This Row],[ENDING INVENTORY]])/(Table2[[#This Row],[STARTING INVENTORY]])</f>
        <v>0.99328859060402686</v>
      </c>
      <c r="M454">
        <f>Table2[[#This Row],[STARTING INVENTORY]]-Table2[[#This Row],[ENDING INVENTORY]]</f>
        <v>148</v>
      </c>
    </row>
    <row r="455" spans="1:13">
      <c r="A455" t="s">
        <v>8</v>
      </c>
      <c r="B455" t="s">
        <v>165</v>
      </c>
      <c r="C455" t="s">
        <v>113</v>
      </c>
      <c r="D455" t="s">
        <v>33</v>
      </c>
      <c r="E455" s="3">
        <v>1.4</v>
      </c>
      <c r="F455" s="3">
        <v>1.4279999999999999</v>
      </c>
      <c r="G455">
        <v>1.95</v>
      </c>
      <c r="H455" s="3">
        <v>2.73</v>
      </c>
      <c r="I455">
        <v>160</v>
      </c>
      <c r="J455">
        <v>4</v>
      </c>
      <c r="K455">
        <v>80</v>
      </c>
      <c r="L455" s="13">
        <f>(Table2[[#This Row],[STARTING INVENTORY]]-Table2[[#This Row],[ENDING INVENTORY]])/(Table2[[#This Row],[STARTING INVENTORY]])</f>
        <v>0.5</v>
      </c>
      <c r="M455">
        <f>Table2[[#This Row],[STARTING INVENTORY]]-Table2[[#This Row],[ENDING INVENTORY]]</f>
        <v>80</v>
      </c>
    </row>
    <row r="456" spans="1:13">
      <c r="A456" t="s">
        <v>8</v>
      </c>
      <c r="B456" t="s">
        <v>165</v>
      </c>
      <c r="C456" t="s">
        <v>119</v>
      </c>
      <c r="D456" t="s">
        <v>33</v>
      </c>
      <c r="E456" s="3">
        <v>2</v>
      </c>
      <c r="F456" s="3">
        <v>2.04</v>
      </c>
      <c r="G456">
        <v>1.95</v>
      </c>
      <c r="H456" s="3">
        <v>3.9</v>
      </c>
      <c r="I456">
        <v>149</v>
      </c>
      <c r="J456">
        <v>8</v>
      </c>
      <c r="K456">
        <v>11</v>
      </c>
      <c r="L456" s="13">
        <f>(Table2[[#This Row],[STARTING INVENTORY]]-Table2[[#This Row],[ENDING INVENTORY]])/(Table2[[#This Row],[STARTING INVENTORY]])</f>
        <v>0.9261744966442953</v>
      </c>
      <c r="M456">
        <f>Table2[[#This Row],[STARTING INVENTORY]]-Table2[[#This Row],[ENDING INVENTORY]]</f>
        <v>138</v>
      </c>
    </row>
    <row r="457" spans="1:13">
      <c r="A457" t="s">
        <v>8</v>
      </c>
      <c r="B457" t="s">
        <v>165</v>
      </c>
      <c r="C457" t="s">
        <v>125</v>
      </c>
      <c r="D457" t="s">
        <v>33</v>
      </c>
      <c r="E457" s="3">
        <v>2.25</v>
      </c>
      <c r="F457" s="3">
        <v>2.2949999999999999</v>
      </c>
      <c r="G457">
        <v>1.98</v>
      </c>
      <c r="H457" s="3">
        <v>4.4550000000000001</v>
      </c>
      <c r="I457">
        <v>176</v>
      </c>
      <c r="J457">
        <v>0</v>
      </c>
      <c r="K457">
        <v>162</v>
      </c>
      <c r="L457" s="13">
        <f>(Table2[[#This Row],[STARTING INVENTORY]]-Table2[[#This Row],[ENDING INVENTORY]])/(Table2[[#This Row],[STARTING INVENTORY]])</f>
        <v>7.9545454545454544E-2</v>
      </c>
      <c r="M457">
        <f>Table2[[#This Row],[STARTING INVENTORY]]-Table2[[#This Row],[ENDING INVENTORY]]</f>
        <v>14</v>
      </c>
    </row>
    <row r="458" spans="1:13">
      <c r="A458" t="s">
        <v>8</v>
      </c>
      <c r="B458" t="s">
        <v>165</v>
      </c>
      <c r="C458" t="s">
        <v>131</v>
      </c>
      <c r="D458" t="s">
        <v>33</v>
      </c>
      <c r="E458" s="3">
        <v>3.4</v>
      </c>
      <c r="F458" s="3">
        <v>3.468</v>
      </c>
      <c r="G458">
        <v>2.06</v>
      </c>
      <c r="H458" s="3">
        <v>7.0039999999999996</v>
      </c>
      <c r="I458">
        <v>121</v>
      </c>
      <c r="J458">
        <v>2</v>
      </c>
      <c r="K458">
        <v>106</v>
      </c>
      <c r="L458" s="13">
        <f>(Table2[[#This Row],[STARTING INVENTORY]]-Table2[[#This Row],[ENDING INVENTORY]])/(Table2[[#This Row],[STARTING INVENTORY]])</f>
        <v>0.12396694214876033</v>
      </c>
      <c r="M458">
        <f>Table2[[#This Row],[STARTING INVENTORY]]-Table2[[#This Row],[ENDING INVENTORY]]</f>
        <v>15</v>
      </c>
    </row>
    <row r="459" spans="1:13">
      <c r="A459" t="s">
        <v>8</v>
      </c>
      <c r="B459" t="s">
        <v>165</v>
      </c>
      <c r="C459" t="s">
        <v>137</v>
      </c>
      <c r="D459" t="s">
        <v>33</v>
      </c>
      <c r="E459" s="3">
        <v>3.1</v>
      </c>
      <c r="F459" s="3">
        <v>3.1620000000000004</v>
      </c>
      <c r="G459">
        <v>1.98</v>
      </c>
      <c r="H459" s="3">
        <v>6.1379999999999999</v>
      </c>
      <c r="I459">
        <v>82</v>
      </c>
      <c r="J459">
        <v>6</v>
      </c>
      <c r="K459">
        <v>64</v>
      </c>
      <c r="L459" s="13">
        <f>(Table2[[#This Row],[STARTING INVENTORY]]-Table2[[#This Row],[ENDING INVENTORY]])/(Table2[[#This Row],[STARTING INVENTORY]])</f>
        <v>0.21951219512195122</v>
      </c>
      <c r="M459">
        <f>Table2[[#This Row],[STARTING INVENTORY]]-Table2[[#This Row],[ENDING INVENTORY]]</f>
        <v>18</v>
      </c>
    </row>
    <row r="460" spans="1:13">
      <c r="A460" t="s">
        <v>8</v>
      </c>
      <c r="B460" t="s">
        <v>165</v>
      </c>
      <c r="C460" t="s">
        <v>143</v>
      </c>
      <c r="D460" t="s">
        <v>33</v>
      </c>
      <c r="E460" s="3">
        <v>1.5</v>
      </c>
      <c r="F460" s="3">
        <v>1.53</v>
      </c>
      <c r="G460">
        <v>2</v>
      </c>
      <c r="H460" s="3">
        <v>3</v>
      </c>
      <c r="I460">
        <v>68</v>
      </c>
      <c r="J460">
        <v>0</v>
      </c>
      <c r="K460">
        <v>54</v>
      </c>
      <c r="L460" s="13">
        <f>(Table2[[#This Row],[STARTING INVENTORY]]-Table2[[#This Row],[ENDING INVENTORY]])/(Table2[[#This Row],[STARTING INVENTORY]])</f>
        <v>0.20588235294117646</v>
      </c>
      <c r="M460">
        <f>Table2[[#This Row],[STARTING INVENTORY]]-Table2[[#This Row],[ENDING INVENTORY]]</f>
        <v>14</v>
      </c>
    </row>
    <row r="461" spans="1:13">
      <c r="A461" t="s">
        <v>8</v>
      </c>
      <c r="B461" t="s">
        <v>165</v>
      </c>
      <c r="C461" t="s">
        <v>149</v>
      </c>
      <c r="D461" t="s">
        <v>33</v>
      </c>
      <c r="E461" s="3">
        <v>1.9</v>
      </c>
      <c r="F461" s="3">
        <v>1.9379999999999999</v>
      </c>
      <c r="G461">
        <v>2.09</v>
      </c>
      <c r="H461" s="3">
        <v>3.9709999999999996</v>
      </c>
      <c r="I461">
        <v>71</v>
      </c>
      <c r="J461">
        <v>5</v>
      </c>
      <c r="K461">
        <v>44</v>
      </c>
      <c r="L461" s="13">
        <f>(Table2[[#This Row],[STARTING INVENTORY]]-Table2[[#This Row],[ENDING INVENTORY]])/(Table2[[#This Row],[STARTING INVENTORY]])</f>
        <v>0.38028169014084506</v>
      </c>
      <c r="M461">
        <f>Table2[[#This Row],[STARTING INVENTORY]]-Table2[[#This Row],[ENDING INVENTORY]]</f>
        <v>27</v>
      </c>
    </row>
    <row r="462" spans="1:13">
      <c r="A462" t="s">
        <v>8</v>
      </c>
      <c r="B462" t="s">
        <v>166</v>
      </c>
      <c r="C462" t="s">
        <v>34</v>
      </c>
      <c r="D462" t="s">
        <v>33</v>
      </c>
      <c r="E462" s="3">
        <v>1.3</v>
      </c>
      <c r="F462" s="3">
        <v>1.3260000000000001</v>
      </c>
      <c r="G462">
        <v>1.99</v>
      </c>
      <c r="H462" s="3">
        <v>2.5870000000000002</v>
      </c>
      <c r="I462">
        <v>40</v>
      </c>
      <c r="J462">
        <v>1</v>
      </c>
      <c r="K462">
        <v>14</v>
      </c>
      <c r="L462" s="13">
        <f>(Table2[[#This Row],[STARTING INVENTORY]]-Table2[[#This Row],[ENDING INVENTORY]])/(Table2[[#This Row],[STARTING INVENTORY]])</f>
        <v>0.65</v>
      </c>
      <c r="M462">
        <f>Table2[[#This Row],[STARTING INVENTORY]]-Table2[[#This Row],[ENDING INVENTORY]]</f>
        <v>26</v>
      </c>
    </row>
    <row r="463" spans="1:13">
      <c r="A463" t="s">
        <v>8</v>
      </c>
      <c r="B463" t="s">
        <v>166</v>
      </c>
      <c r="C463" t="s">
        <v>40</v>
      </c>
      <c r="D463" t="s">
        <v>33</v>
      </c>
      <c r="E463" s="3">
        <v>1.6</v>
      </c>
      <c r="F463" s="3">
        <v>1.6320000000000001</v>
      </c>
      <c r="G463">
        <v>2.0700000000000003</v>
      </c>
      <c r="H463" s="3">
        <v>3.3120000000000007</v>
      </c>
      <c r="I463">
        <v>97</v>
      </c>
      <c r="J463">
        <v>1</v>
      </c>
      <c r="K463">
        <v>89</v>
      </c>
      <c r="L463" s="13">
        <f>(Table2[[#This Row],[STARTING INVENTORY]]-Table2[[#This Row],[ENDING INVENTORY]])/(Table2[[#This Row],[STARTING INVENTORY]])</f>
        <v>8.247422680412371E-2</v>
      </c>
      <c r="M463">
        <f>Table2[[#This Row],[STARTING INVENTORY]]-Table2[[#This Row],[ENDING INVENTORY]]</f>
        <v>8</v>
      </c>
    </row>
    <row r="464" spans="1:13">
      <c r="A464" t="s">
        <v>8</v>
      </c>
      <c r="B464" t="s">
        <v>166</v>
      </c>
      <c r="C464" t="s">
        <v>46</v>
      </c>
      <c r="D464" t="s">
        <v>33</v>
      </c>
      <c r="E464" s="3">
        <v>1.35</v>
      </c>
      <c r="F464" s="3">
        <v>1.3770000000000002</v>
      </c>
      <c r="G464">
        <v>2.09</v>
      </c>
      <c r="H464" s="3">
        <v>2.8214999999999999</v>
      </c>
      <c r="I464">
        <v>40</v>
      </c>
      <c r="J464">
        <v>9</v>
      </c>
      <c r="K464">
        <v>4</v>
      </c>
      <c r="L464" s="13">
        <f>(Table2[[#This Row],[STARTING INVENTORY]]-Table2[[#This Row],[ENDING INVENTORY]])/(Table2[[#This Row],[STARTING INVENTORY]])</f>
        <v>0.9</v>
      </c>
      <c r="M464">
        <f>Table2[[#This Row],[STARTING INVENTORY]]-Table2[[#This Row],[ENDING INVENTORY]]</f>
        <v>36</v>
      </c>
    </row>
    <row r="465" spans="1:13">
      <c r="A465" t="s">
        <v>8</v>
      </c>
      <c r="B465" t="s">
        <v>166</v>
      </c>
      <c r="C465" t="s">
        <v>52</v>
      </c>
      <c r="D465" t="s">
        <v>33</v>
      </c>
      <c r="E465" s="3">
        <v>1.6</v>
      </c>
      <c r="F465" s="3">
        <v>1.6320000000000001</v>
      </c>
      <c r="G465">
        <v>1.95</v>
      </c>
      <c r="H465" s="3">
        <v>3.12</v>
      </c>
      <c r="I465">
        <v>73</v>
      </c>
      <c r="J465">
        <v>0</v>
      </c>
      <c r="K465">
        <v>61</v>
      </c>
      <c r="L465" s="13">
        <f>(Table2[[#This Row],[STARTING INVENTORY]]-Table2[[#This Row],[ENDING INVENTORY]])/(Table2[[#This Row],[STARTING INVENTORY]])</f>
        <v>0.16438356164383561</v>
      </c>
      <c r="M465">
        <f>Table2[[#This Row],[STARTING INVENTORY]]-Table2[[#This Row],[ENDING INVENTORY]]</f>
        <v>12</v>
      </c>
    </row>
    <row r="466" spans="1:13">
      <c r="A466" t="s">
        <v>8</v>
      </c>
      <c r="B466" t="s">
        <v>166</v>
      </c>
      <c r="C466" t="s">
        <v>58</v>
      </c>
      <c r="D466" t="s">
        <v>33</v>
      </c>
      <c r="E466" s="3">
        <v>2.1</v>
      </c>
      <c r="F466" s="3">
        <v>2.1420000000000003</v>
      </c>
      <c r="G466">
        <v>1.95</v>
      </c>
      <c r="H466" s="3">
        <v>4.0949999999999998</v>
      </c>
      <c r="I466">
        <v>135</v>
      </c>
      <c r="J466">
        <v>3</v>
      </c>
      <c r="K466">
        <v>48</v>
      </c>
      <c r="L466" s="13">
        <f>(Table2[[#This Row],[STARTING INVENTORY]]-Table2[[#This Row],[ENDING INVENTORY]])/(Table2[[#This Row],[STARTING INVENTORY]])</f>
        <v>0.64444444444444449</v>
      </c>
      <c r="M466">
        <f>Table2[[#This Row],[STARTING INVENTORY]]-Table2[[#This Row],[ENDING INVENTORY]]</f>
        <v>87</v>
      </c>
    </row>
    <row r="467" spans="1:13">
      <c r="A467" t="s">
        <v>8</v>
      </c>
      <c r="B467" t="s">
        <v>166</v>
      </c>
      <c r="C467" t="s">
        <v>64</v>
      </c>
      <c r="D467" t="s">
        <v>33</v>
      </c>
      <c r="E467" s="3">
        <v>1.85</v>
      </c>
      <c r="F467" s="3">
        <v>1.8870000000000002</v>
      </c>
      <c r="G467">
        <v>2.06</v>
      </c>
      <c r="H467" s="3">
        <v>3.8110000000000004</v>
      </c>
      <c r="I467">
        <v>87</v>
      </c>
      <c r="J467">
        <v>5</v>
      </c>
      <c r="K467">
        <v>24</v>
      </c>
      <c r="L467" s="13">
        <f>(Table2[[#This Row],[STARTING INVENTORY]]-Table2[[#This Row],[ENDING INVENTORY]])/(Table2[[#This Row],[STARTING INVENTORY]])</f>
        <v>0.72413793103448276</v>
      </c>
      <c r="M467">
        <f>Table2[[#This Row],[STARTING INVENTORY]]-Table2[[#This Row],[ENDING INVENTORY]]</f>
        <v>63</v>
      </c>
    </row>
    <row r="468" spans="1:13">
      <c r="A468" t="s">
        <v>8</v>
      </c>
      <c r="B468" t="s">
        <v>166</v>
      </c>
      <c r="C468" t="s">
        <v>70</v>
      </c>
      <c r="D468" t="s">
        <v>33</v>
      </c>
      <c r="E468" s="3">
        <v>1.55</v>
      </c>
      <c r="F468" s="3">
        <v>1.5810000000000002</v>
      </c>
      <c r="G468">
        <v>2.06</v>
      </c>
      <c r="H468" s="3">
        <v>3.1930000000000001</v>
      </c>
      <c r="I468">
        <v>128</v>
      </c>
      <c r="J468">
        <v>0</v>
      </c>
      <c r="K468">
        <v>22</v>
      </c>
      <c r="L468" s="13">
        <f>(Table2[[#This Row],[STARTING INVENTORY]]-Table2[[#This Row],[ENDING INVENTORY]])/(Table2[[#This Row],[STARTING INVENTORY]])</f>
        <v>0.828125</v>
      </c>
      <c r="M468">
        <f>Table2[[#This Row],[STARTING INVENTORY]]-Table2[[#This Row],[ENDING INVENTORY]]</f>
        <v>106</v>
      </c>
    </row>
    <row r="469" spans="1:13">
      <c r="A469" t="s">
        <v>8</v>
      </c>
      <c r="B469" t="s">
        <v>166</v>
      </c>
      <c r="C469" t="s">
        <v>76</v>
      </c>
      <c r="D469" t="s">
        <v>33</v>
      </c>
      <c r="E469" s="3">
        <v>1.55</v>
      </c>
      <c r="F469" s="3">
        <v>1.5810000000000002</v>
      </c>
      <c r="G469">
        <v>2.09</v>
      </c>
      <c r="H469" s="3">
        <v>3.2395</v>
      </c>
      <c r="I469">
        <v>143</v>
      </c>
      <c r="J469">
        <v>3</v>
      </c>
      <c r="K469">
        <v>37</v>
      </c>
      <c r="L469" s="13">
        <f>(Table2[[#This Row],[STARTING INVENTORY]]-Table2[[#This Row],[ENDING INVENTORY]])/(Table2[[#This Row],[STARTING INVENTORY]])</f>
        <v>0.74125874125874125</v>
      </c>
      <c r="M469">
        <f>Table2[[#This Row],[STARTING INVENTORY]]-Table2[[#This Row],[ENDING INVENTORY]]</f>
        <v>106</v>
      </c>
    </row>
    <row r="470" spans="1:13">
      <c r="A470" t="s">
        <v>8</v>
      </c>
      <c r="B470" t="s">
        <v>166</v>
      </c>
      <c r="C470" t="s">
        <v>82</v>
      </c>
      <c r="D470" t="s">
        <v>33</v>
      </c>
      <c r="E470" s="3">
        <v>1.75</v>
      </c>
      <c r="F470" s="3">
        <v>1.7850000000000001</v>
      </c>
      <c r="G470">
        <v>2.1</v>
      </c>
      <c r="H470" s="3">
        <v>3.6750000000000003</v>
      </c>
      <c r="I470">
        <v>148</v>
      </c>
      <c r="J470">
        <v>8</v>
      </c>
      <c r="K470">
        <v>27</v>
      </c>
      <c r="L470" s="13">
        <f>(Table2[[#This Row],[STARTING INVENTORY]]-Table2[[#This Row],[ENDING INVENTORY]])/(Table2[[#This Row],[STARTING INVENTORY]])</f>
        <v>0.81756756756756754</v>
      </c>
      <c r="M470">
        <f>Table2[[#This Row],[STARTING INVENTORY]]-Table2[[#This Row],[ENDING INVENTORY]]</f>
        <v>121</v>
      </c>
    </row>
    <row r="471" spans="1:13">
      <c r="A471" t="s">
        <v>8</v>
      </c>
      <c r="B471" t="s">
        <v>166</v>
      </c>
      <c r="C471" t="s">
        <v>88</v>
      </c>
      <c r="D471" t="s">
        <v>33</v>
      </c>
      <c r="E471" s="3">
        <v>2.2000000000000002</v>
      </c>
      <c r="F471" s="3">
        <v>2.2440000000000002</v>
      </c>
      <c r="G471">
        <v>2.1</v>
      </c>
      <c r="H471" s="3">
        <v>4.620000000000001</v>
      </c>
      <c r="I471">
        <v>40</v>
      </c>
      <c r="J471">
        <v>0</v>
      </c>
      <c r="K471">
        <v>20</v>
      </c>
      <c r="L471" s="13">
        <f>(Table2[[#This Row],[STARTING INVENTORY]]-Table2[[#This Row],[ENDING INVENTORY]])/(Table2[[#This Row],[STARTING INVENTORY]])</f>
        <v>0.5</v>
      </c>
      <c r="M471">
        <f>Table2[[#This Row],[STARTING INVENTORY]]-Table2[[#This Row],[ENDING INVENTORY]]</f>
        <v>20</v>
      </c>
    </row>
    <row r="472" spans="1:13">
      <c r="A472" t="s">
        <v>8</v>
      </c>
      <c r="B472" t="s">
        <v>166</v>
      </c>
      <c r="C472" t="s">
        <v>94</v>
      </c>
      <c r="D472" t="s">
        <v>33</v>
      </c>
      <c r="E472" s="3">
        <v>2.75</v>
      </c>
      <c r="F472" s="3">
        <v>2.8050000000000002</v>
      </c>
      <c r="G472">
        <v>2.02</v>
      </c>
      <c r="H472" s="3">
        <v>5.5549999999999997</v>
      </c>
      <c r="I472">
        <v>55</v>
      </c>
      <c r="J472">
        <v>6</v>
      </c>
      <c r="K472">
        <v>42</v>
      </c>
      <c r="L472" s="13">
        <f>(Table2[[#This Row],[STARTING INVENTORY]]-Table2[[#This Row],[ENDING INVENTORY]])/(Table2[[#This Row],[STARTING INVENTORY]])</f>
        <v>0.23636363636363636</v>
      </c>
      <c r="M472">
        <f>Table2[[#This Row],[STARTING INVENTORY]]-Table2[[#This Row],[ENDING INVENTORY]]</f>
        <v>13</v>
      </c>
    </row>
    <row r="473" spans="1:13">
      <c r="A473" t="s">
        <v>8</v>
      </c>
      <c r="B473" t="s">
        <v>166</v>
      </c>
      <c r="C473" t="s">
        <v>100</v>
      </c>
      <c r="D473" t="s">
        <v>33</v>
      </c>
      <c r="E473" s="3">
        <v>2.4</v>
      </c>
      <c r="F473" s="3">
        <v>2.448</v>
      </c>
      <c r="G473">
        <v>2.0700000000000003</v>
      </c>
      <c r="H473" s="3">
        <v>4.9680000000000009</v>
      </c>
      <c r="I473">
        <v>100</v>
      </c>
      <c r="J473">
        <v>2</v>
      </c>
      <c r="K473">
        <v>17</v>
      </c>
      <c r="L473" s="13">
        <f>(Table2[[#This Row],[STARTING INVENTORY]]-Table2[[#This Row],[ENDING INVENTORY]])/(Table2[[#This Row],[STARTING INVENTORY]])</f>
        <v>0.83</v>
      </c>
      <c r="M473">
        <f>Table2[[#This Row],[STARTING INVENTORY]]-Table2[[#This Row],[ENDING INVENTORY]]</f>
        <v>83</v>
      </c>
    </row>
    <row r="474" spans="1:13">
      <c r="A474" t="s">
        <v>8</v>
      </c>
      <c r="B474" t="s">
        <v>166</v>
      </c>
      <c r="C474" t="s">
        <v>106</v>
      </c>
      <c r="D474" t="s">
        <v>33</v>
      </c>
      <c r="E474" s="3">
        <v>2.7</v>
      </c>
      <c r="F474" s="3">
        <v>2.7540000000000004</v>
      </c>
      <c r="G474">
        <v>2.08</v>
      </c>
      <c r="H474" s="3">
        <v>5.6160000000000005</v>
      </c>
      <c r="I474">
        <v>142</v>
      </c>
      <c r="J474">
        <v>3</v>
      </c>
      <c r="K474">
        <v>98</v>
      </c>
      <c r="L474" s="13">
        <f>(Table2[[#This Row],[STARTING INVENTORY]]-Table2[[#This Row],[ENDING INVENTORY]])/(Table2[[#This Row],[STARTING INVENTORY]])</f>
        <v>0.30985915492957744</v>
      </c>
      <c r="M474">
        <f>Table2[[#This Row],[STARTING INVENTORY]]-Table2[[#This Row],[ENDING INVENTORY]]</f>
        <v>44</v>
      </c>
    </row>
    <row r="475" spans="1:13">
      <c r="A475" t="s">
        <v>8</v>
      </c>
      <c r="B475" t="s">
        <v>166</v>
      </c>
      <c r="C475" t="s">
        <v>112</v>
      </c>
      <c r="D475" t="s">
        <v>33</v>
      </c>
      <c r="E475" s="3">
        <v>2.6</v>
      </c>
      <c r="F475" s="3">
        <v>2.6520000000000001</v>
      </c>
      <c r="G475">
        <v>2.04</v>
      </c>
      <c r="H475" s="3">
        <v>5.3040000000000003</v>
      </c>
      <c r="I475">
        <v>103</v>
      </c>
      <c r="J475">
        <v>3</v>
      </c>
      <c r="K475">
        <v>44</v>
      </c>
      <c r="L475" s="13">
        <f>(Table2[[#This Row],[STARTING INVENTORY]]-Table2[[#This Row],[ENDING INVENTORY]])/(Table2[[#This Row],[STARTING INVENTORY]])</f>
        <v>0.57281553398058249</v>
      </c>
      <c r="M475">
        <f>Table2[[#This Row],[STARTING INVENTORY]]-Table2[[#This Row],[ENDING INVENTORY]]</f>
        <v>59</v>
      </c>
    </row>
    <row r="476" spans="1:13">
      <c r="A476" t="s">
        <v>8</v>
      </c>
      <c r="B476" t="s">
        <v>166</v>
      </c>
      <c r="C476" t="s">
        <v>118</v>
      </c>
      <c r="D476" t="s">
        <v>33</v>
      </c>
      <c r="E476" s="3">
        <v>4</v>
      </c>
      <c r="F476" s="3">
        <v>4.08</v>
      </c>
      <c r="G476">
        <v>2.02</v>
      </c>
      <c r="H476" s="3">
        <v>8.08</v>
      </c>
      <c r="I476">
        <v>102</v>
      </c>
      <c r="J476">
        <v>1</v>
      </c>
      <c r="K476">
        <v>72</v>
      </c>
      <c r="L476" s="13">
        <f>(Table2[[#This Row],[STARTING INVENTORY]]-Table2[[#This Row],[ENDING INVENTORY]])/(Table2[[#This Row],[STARTING INVENTORY]])</f>
        <v>0.29411764705882354</v>
      </c>
      <c r="M476">
        <f>Table2[[#This Row],[STARTING INVENTORY]]-Table2[[#This Row],[ENDING INVENTORY]]</f>
        <v>30</v>
      </c>
    </row>
    <row r="477" spans="1:13">
      <c r="A477" t="s">
        <v>8</v>
      </c>
      <c r="B477" t="s">
        <v>166</v>
      </c>
      <c r="C477" t="s">
        <v>124</v>
      </c>
      <c r="D477" t="s">
        <v>33</v>
      </c>
      <c r="E477" s="3">
        <v>4.25</v>
      </c>
      <c r="F477" s="3">
        <v>4.335</v>
      </c>
      <c r="G477">
        <v>2.0300000000000002</v>
      </c>
      <c r="H477" s="3">
        <v>8.6275000000000013</v>
      </c>
      <c r="I477">
        <v>108</v>
      </c>
      <c r="J477">
        <v>7</v>
      </c>
      <c r="K477">
        <v>52</v>
      </c>
      <c r="L477" s="13">
        <f>(Table2[[#This Row],[STARTING INVENTORY]]-Table2[[#This Row],[ENDING INVENTORY]])/(Table2[[#This Row],[STARTING INVENTORY]])</f>
        <v>0.51851851851851849</v>
      </c>
      <c r="M477">
        <f>Table2[[#This Row],[STARTING INVENTORY]]-Table2[[#This Row],[ENDING INVENTORY]]</f>
        <v>56</v>
      </c>
    </row>
    <row r="478" spans="1:13">
      <c r="A478" t="s">
        <v>8</v>
      </c>
      <c r="B478" t="s">
        <v>166</v>
      </c>
      <c r="C478" t="s">
        <v>130</v>
      </c>
      <c r="D478" t="s">
        <v>33</v>
      </c>
      <c r="E478" s="3">
        <v>5</v>
      </c>
      <c r="F478" s="3">
        <v>5.0999999999999996</v>
      </c>
      <c r="G478">
        <v>1.99</v>
      </c>
      <c r="H478" s="3">
        <v>9.9499999999999993</v>
      </c>
      <c r="I478">
        <v>61</v>
      </c>
      <c r="J478">
        <v>8</v>
      </c>
      <c r="K478">
        <v>37</v>
      </c>
      <c r="L478" s="13">
        <f>(Table2[[#This Row],[STARTING INVENTORY]]-Table2[[#This Row],[ENDING INVENTORY]])/(Table2[[#This Row],[STARTING INVENTORY]])</f>
        <v>0.39344262295081966</v>
      </c>
      <c r="M478">
        <f>Table2[[#This Row],[STARTING INVENTORY]]-Table2[[#This Row],[ENDING INVENTORY]]</f>
        <v>24</v>
      </c>
    </row>
    <row r="479" spans="1:13">
      <c r="A479" t="s">
        <v>8</v>
      </c>
      <c r="B479" t="s">
        <v>166</v>
      </c>
      <c r="C479" t="s">
        <v>136</v>
      </c>
      <c r="D479" t="s">
        <v>33</v>
      </c>
      <c r="E479" s="3">
        <v>3</v>
      </c>
      <c r="F479" s="3">
        <v>3.06</v>
      </c>
      <c r="G479">
        <v>2</v>
      </c>
      <c r="H479" s="3">
        <v>6</v>
      </c>
      <c r="I479">
        <v>132</v>
      </c>
      <c r="J479">
        <v>3</v>
      </c>
      <c r="K479">
        <v>121</v>
      </c>
      <c r="L479" s="13">
        <f>(Table2[[#This Row],[STARTING INVENTORY]]-Table2[[#This Row],[ENDING INVENTORY]])/(Table2[[#This Row],[STARTING INVENTORY]])</f>
        <v>8.3333333333333329E-2</v>
      </c>
      <c r="M479">
        <f>Table2[[#This Row],[STARTING INVENTORY]]-Table2[[#This Row],[ENDING INVENTORY]]</f>
        <v>11</v>
      </c>
    </row>
    <row r="480" spans="1:13">
      <c r="A480" t="s">
        <v>8</v>
      </c>
      <c r="B480" t="s">
        <v>166</v>
      </c>
      <c r="C480" t="s">
        <v>142</v>
      </c>
      <c r="D480" t="s">
        <v>33</v>
      </c>
      <c r="E480" s="3">
        <v>2.4</v>
      </c>
      <c r="F480" s="3">
        <v>2.448</v>
      </c>
      <c r="G480">
        <v>2.06</v>
      </c>
      <c r="H480" s="3">
        <v>4.944</v>
      </c>
      <c r="I480">
        <v>106</v>
      </c>
      <c r="J480">
        <v>5</v>
      </c>
      <c r="K480">
        <v>29</v>
      </c>
      <c r="L480" s="13">
        <f>(Table2[[#This Row],[STARTING INVENTORY]]-Table2[[#This Row],[ENDING INVENTORY]])/(Table2[[#This Row],[STARTING INVENTORY]])</f>
        <v>0.72641509433962259</v>
      </c>
      <c r="M480">
        <f>Table2[[#This Row],[STARTING INVENTORY]]-Table2[[#This Row],[ENDING INVENTORY]]</f>
        <v>77</v>
      </c>
    </row>
    <row r="481" spans="1:13">
      <c r="A481" t="s">
        <v>8</v>
      </c>
      <c r="B481" t="s">
        <v>166</v>
      </c>
      <c r="C481" t="s">
        <v>148</v>
      </c>
      <c r="D481" t="s">
        <v>33</v>
      </c>
      <c r="E481" s="3">
        <v>3.25</v>
      </c>
      <c r="F481" s="3">
        <v>3.3149999999999999</v>
      </c>
      <c r="G481">
        <v>2.1</v>
      </c>
      <c r="H481" s="3">
        <v>6.8250000000000002</v>
      </c>
      <c r="I481">
        <v>115</v>
      </c>
      <c r="J481">
        <v>3</v>
      </c>
      <c r="K481">
        <v>59</v>
      </c>
      <c r="L481" s="13">
        <f>(Table2[[#This Row],[STARTING INVENTORY]]-Table2[[#This Row],[ENDING INVENTORY]])/(Table2[[#This Row],[STARTING INVENTORY]])</f>
        <v>0.48695652173913045</v>
      </c>
      <c r="M481">
        <f>Table2[[#This Row],[STARTING INVENTORY]]-Table2[[#This Row],[ENDING INVENTORY]]</f>
        <v>56</v>
      </c>
    </row>
    <row r="482" spans="1:13">
      <c r="A482" t="s">
        <v>9</v>
      </c>
      <c r="B482" t="s">
        <v>161</v>
      </c>
      <c r="C482" t="s">
        <v>28</v>
      </c>
      <c r="D482" t="s">
        <v>29</v>
      </c>
      <c r="E482" s="3">
        <v>0.35</v>
      </c>
      <c r="F482" s="3">
        <v>0.34299999999999997</v>
      </c>
      <c r="G482">
        <v>2.02</v>
      </c>
      <c r="H482" s="3">
        <v>0.70699999999999996</v>
      </c>
      <c r="I482">
        <v>193</v>
      </c>
      <c r="J482">
        <v>2</v>
      </c>
      <c r="K482">
        <v>107</v>
      </c>
      <c r="L482" s="13">
        <f>(Table2[[#This Row],[STARTING INVENTORY]]-Table2[[#This Row],[ENDING INVENTORY]])/(Table2[[#This Row],[STARTING INVENTORY]])</f>
        <v>0.44559585492227977</v>
      </c>
      <c r="M482">
        <f>Table2[[#This Row],[STARTING INVENTORY]]-Table2[[#This Row],[ENDING INVENTORY]]</f>
        <v>86</v>
      </c>
    </row>
    <row r="483" spans="1:13">
      <c r="A483" t="s">
        <v>9</v>
      </c>
      <c r="B483" t="s">
        <v>161</v>
      </c>
      <c r="C483" t="s">
        <v>36</v>
      </c>
      <c r="D483" t="s">
        <v>29</v>
      </c>
      <c r="E483" s="3">
        <v>0.85</v>
      </c>
      <c r="F483" s="3">
        <v>0.83299999999999996</v>
      </c>
      <c r="G483">
        <v>1.96</v>
      </c>
      <c r="H483" s="3">
        <v>1.6659999999999999</v>
      </c>
      <c r="I483">
        <v>135</v>
      </c>
      <c r="J483">
        <v>3</v>
      </c>
      <c r="K483">
        <v>97</v>
      </c>
      <c r="L483" s="13">
        <f>(Table2[[#This Row],[STARTING INVENTORY]]-Table2[[#This Row],[ENDING INVENTORY]])/(Table2[[#This Row],[STARTING INVENTORY]])</f>
        <v>0.2814814814814815</v>
      </c>
      <c r="M483">
        <f>Table2[[#This Row],[STARTING INVENTORY]]-Table2[[#This Row],[ENDING INVENTORY]]</f>
        <v>38</v>
      </c>
    </row>
    <row r="484" spans="1:13">
      <c r="A484" t="s">
        <v>9</v>
      </c>
      <c r="B484" t="s">
        <v>161</v>
      </c>
      <c r="C484" t="s">
        <v>42</v>
      </c>
      <c r="D484" t="s">
        <v>29</v>
      </c>
      <c r="E484" s="3">
        <v>0.7</v>
      </c>
      <c r="F484" s="3">
        <v>0.68599999999999994</v>
      </c>
      <c r="G484">
        <v>1.97</v>
      </c>
      <c r="H484" s="3">
        <v>1.379</v>
      </c>
      <c r="I484">
        <v>78</v>
      </c>
      <c r="J484">
        <v>2</v>
      </c>
      <c r="K484">
        <v>31</v>
      </c>
      <c r="L484" s="13">
        <f>(Table2[[#This Row],[STARTING INVENTORY]]-Table2[[#This Row],[ENDING INVENTORY]])/(Table2[[#This Row],[STARTING INVENTORY]])</f>
        <v>0.60256410256410253</v>
      </c>
      <c r="M484">
        <f>Table2[[#This Row],[STARTING INVENTORY]]-Table2[[#This Row],[ENDING INVENTORY]]</f>
        <v>47</v>
      </c>
    </row>
    <row r="485" spans="1:13">
      <c r="A485" t="s">
        <v>9</v>
      </c>
      <c r="B485" t="s">
        <v>161</v>
      </c>
      <c r="C485" t="s">
        <v>48</v>
      </c>
      <c r="D485" t="s">
        <v>33</v>
      </c>
      <c r="E485" s="3">
        <v>0.35</v>
      </c>
      <c r="F485" s="3">
        <v>0.34299999999999997</v>
      </c>
      <c r="G485">
        <v>1.96</v>
      </c>
      <c r="H485" s="3">
        <v>0.68599999999999994</v>
      </c>
      <c r="I485">
        <v>118</v>
      </c>
      <c r="J485">
        <v>2</v>
      </c>
      <c r="K485">
        <v>66</v>
      </c>
      <c r="L485" s="13">
        <f>(Table2[[#This Row],[STARTING INVENTORY]]-Table2[[#This Row],[ENDING INVENTORY]])/(Table2[[#This Row],[STARTING INVENTORY]])</f>
        <v>0.44067796610169491</v>
      </c>
      <c r="M485">
        <f>Table2[[#This Row],[STARTING INVENTORY]]-Table2[[#This Row],[ENDING INVENTORY]]</f>
        <v>52</v>
      </c>
    </row>
    <row r="486" spans="1:13">
      <c r="A486" t="s">
        <v>9</v>
      </c>
      <c r="B486" t="s">
        <v>161</v>
      </c>
      <c r="C486" t="s">
        <v>54</v>
      </c>
      <c r="D486" t="s">
        <v>33</v>
      </c>
      <c r="E486" s="3">
        <v>0.2</v>
      </c>
      <c r="F486" s="3">
        <v>0.19600000000000001</v>
      </c>
      <c r="G486">
        <v>2.04</v>
      </c>
      <c r="H486" s="3">
        <v>0.40800000000000003</v>
      </c>
      <c r="I486">
        <v>96</v>
      </c>
      <c r="J486">
        <v>5</v>
      </c>
      <c r="K486">
        <v>66</v>
      </c>
      <c r="L486" s="13">
        <f>(Table2[[#This Row],[STARTING INVENTORY]]-Table2[[#This Row],[ENDING INVENTORY]])/(Table2[[#This Row],[STARTING INVENTORY]])</f>
        <v>0.3125</v>
      </c>
      <c r="M486">
        <f>Table2[[#This Row],[STARTING INVENTORY]]-Table2[[#This Row],[ENDING INVENTORY]]</f>
        <v>30</v>
      </c>
    </row>
    <row r="487" spans="1:13">
      <c r="A487" t="s">
        <v>9</v>
      </c>
      <c r="B487" t="s">
        <v>161</v>
      </c>
      <c r="C487" t="s">
        <v>60</v>
      </c>
      <c r="D487" t="s">
        <v>33</v>
      </c>
      <c r="E487" s="3">
        <v>0.75</v>
      </c>
      <c r="F487" s="3">
        <v>0.73499999999999999</v>
      </c>
      <c r="G487">
        <v>2</v>
      </c>
      <c r="H487" s="3">
        <v>1.5</v>
      </c>
      <c r="I487">
        <v>143</v>
      </c>
      <c r="J487">
        <v>2</v>
      </c>
      <c r="K487">
        <v>78</v>
      </c>
      <c r="L487" s="13">
        <f>(Table2[[#This Row],[STARTING INVENTORY]]-Table2[[#This Row],[ENDING INVENTORY]])/(Table2[[#This Row],[STARTING INVENTORY]])</f>
        <v>0.45454545454545453</v>
      </c>
      <c r="M487">
        <f>Table2[[#This Row],[STARTING INVENTORY]]-Table2[[#This Row],[ENDING INVENTORY]]</f>
        <v>65</v>
      </c>
    </row>
    <row r="488" spans="1:13">
      <c r="A488" t="s">
        <v>9</v>
      </c>
      <c r="B488" t="s">
        <v>161</v>
      </c>
      <c r="C488" t="s">
        <v>66</v>
      </c>
      <c r="D488" t="s">
        <v>29</v>
      </c>
      <c r="E488" s="3">
        <v>0.6</v>
      </c>
      <c r="F488" s="3">
        <v>0.58799999999999997</v>
      </c>
      <c r="G488">
        <v>1.96</v>
      </c>
      <c r="H488" s="3">
        <v>1.1759999999999999</v>
      </c>
      <c r="I488">
        <v>193</v>
      </c>
      <c r="J488">
        <v>0</v>
      </c>
      <c r="K488">
        <v>40</v>
      </c>
      <c r="L488" s="13">
        <f>(Table2[[#This Row],[STARTING INVENTORY]]-Table2[[#This Row],[ENDING INVENTORY]])/(Table2[[#This Row],[STARTING INVENTORY]])</f>
        <v>0.79274611398963735</v>
      </c>
      <c r="M488">
        <f>Table2[[#This Row],[STARTING INVENTORY]]-Table2[[#This Row],[ENDING INVENTORY]]</f>
        <v>153</v>
      </c>
    </row>
    <row r="489" spans="1:13">
      <c r="A489" t="s">
        <v>9</v>
      </c>
      <c r="B489" t="s">
        <v>161</v>
      </c>
      <c r="C489" t="s">
        <v>72</v>
      </c>
      <c r="D489" t="s">
        <v>29</v>
      </c>
      <c r="E489" s="3">
        <v>0.45</v>
      </c>
      <c r="F489" s="3">
        <v>0.441</v>
      </c>
      <c r="G489">
        <v>1.95</v>
      </c>
      <c r="H489" s="3">
        <v>0.87749999999999995</v>
      </c>
      <c r="I489">
        <v>134</v>
      </c>
      <c r="J489">
        <v>0</v>
      </c>
      <c r="K489">
        <v>62</v>
      </c>
      <c r="L489" s="13">
        <f>(Table2[[#This Row],[STARTING INVENTORY]]-Table2[[#This Row],[ENDING INVENTORY]])/(Table2[[#This Row],[STARTING INVENTORY]])</f>
        <v>0.53731343283582089</v>
      </c>
      <c r="M489">
        <f>Table2[[#This Row],[STARTING INVENTORY]]-Table2[[#This Row],[ENDING INVENTORY]]</f>
        <v>72</v>
      </c>
    </row>
    <row r="490" spans="1:13">
      <c r="A490" t="s">
        <v>9</v>
      </c>
      <c r="B490" t="s">
        <v>161</v>
      </c>
      <c r="C490" t="s">
        <v>78</v>
      </c>
      <c r="D490" t="s">
        <v>29</v>
      </c>
      <c r="E490" s="3">
        <v>0.4</v>
      </c>
      <c r="F490" s="3">
        <v>0.39200000000000002</v>
      </c>
      <c r="G490">
        <v>1.97</v>
      </c>
      <c r="H490" s="3">
        <v>0.78800000000000003</v>
      </c>
      <c r="I490">
        <v>88</v>
      </c>
      <c r="J490">
        <v>1</v>
      </c>
      <c r="K490">
        <v>22</v>
      </c>
      <c r="L490" s="13">
        <f>(Table2[[#This Row],[STARTING INVENTORY]]-Table2[[#This Row],[ENDING INVENTORY]])/(Table2[[#This Row],[STARTING INVENTORY]])</f>
        <v>0.75</v>
      </c>
      <c r="M490">
        <f>Table2[[#This Row],[STARTING INVENTORY]]-Table2[[#This Row],[ENDING INVENTORY]]</f>
        <v>66</v>
      </c>
    </row>
    <row r="491" spans="1:13">
      <c r="A491" t="s">
        <v>9</v>
      </c>
      <c r="B491" t="s">
        <v>161</v>
      </c>
      <c r="C491" t="s">
        <v>84</v>
      </c>
      <c r="D491" t="s">
        <v>29</v>
      </c>
      <c r="E491" s="3">
        <v>0.35</v>
      </c>
      <c r="F491" s="3">
        <v>0.34299999999999997</v>
      </c>
      <c r="G491">
        <v>2.02</v>
      </c>
      <c r="H491" s="3">
        <v>0.70699999999999996</v>
      </c>
      <c r="I491">
        <v>149</v>
      </c>
      <c r="J491">
        <v>4</v>
      </c>
      <c r="K491">
        <v>103</v>
      </c>
      <c r="L491" s="13">
        <f>(Table2[[#This Row],[STARTING INVENTORY]]-Table2[[#This Row],[ENDING INVENTORY]])/(Table2[[#This Row],[STARTING INVENTORY]])</f>
        <v>0.3087248322147651</v>
      </c>
      <c r="M491">
        <f>Table2[[#This Row],[STARTING INVENTORY]]-Table2[[#This Row],[ENDING INVENTORY]]</f>
        <v>46</v>
      </c>
    </row>
    <row r="492" spans="1:13">
      <c r="A492" t="s">
        <v>9</v>
      </c>
      <c r="B492" t="s">
        <v>161</v>
      </c>
      <c r="C492" t="s">
        <v>90</v>
      </c>
      <c r="D492" t="s">
        <v>29</v>
      </c>
      <c r="E492" s="3">
        <v>0.9</v>
      </c>
      <c r="F492" s="3">
        <v>0.88200000000000001</v>
      </c>
      <c r="G492">
        <v>2.04</v>
      </c>
      <c r="H492" s="3">
        <v>1.8360000000000001</v>
      </c>
      <c r="I492">
        <v>82</v>
      </c>
      <c r="J492">
        <v>2</v>
      </c>
      <c r="K492">
        <v>74</v>
      </c>
      <c r="L492" s="13">
        <f>(Table2[[#This Row],[STARTING INVENTORY]]-Table2[[#This Row],[ENDING INVENTORY]])/(Table2[[#This Row],[STARTING INVENTORY]])</f>
        <v>9.7560975609756101E-2</v>
      </c>
      <c r="M492">
        <f>Table2[[#This Row],[STARTING INVENTORY]]-Table2[[#This Row],[ENDING INVENTORY]]</f>
        <v>8</v>
      </c>
    </row>
    <row r="493" spans="1:13">
      <c r="A493" t="s">
        <v>9</v>
      </c>
      <c r="B493" t="s">
        <v>161</v>
      </c>
      <c r="C493" t="s">
        <v>96</v>
      </c>
      <c r="D493" t="s">
        <v>33</v>
      </c>
      <c r="E493" s="3">
        <v>1</v>
      </c>
      <c r="F493" s="3">
        <v>0.98</v>
      </c>
      <c r="G493">
        <v>1.95</v>
      </c>
      <c r="H493" s="3">
        <v>1.95</v>
      </c>
      <c r="I493">
        <v>150</v>
      </c>
      <c r="J493">
        <v>3</v>
      </c>
      <c r="K493">
        <v>47</v>
      </c>
      <c r="L493" s="13">
        <f>(Table2[[#This Row],[STARTING INVENTORY]]-Table2[[#This Row],[ENDING INVENTORY]])/(Table2[[#This Row],[STARTING INVENTORY]])</f>
        <v>0.68666666666666665</v>
      </c>
      <c r="M493">
        <f>Table2[[#This Row],[STARTING INVENTORY]]-Table2[[#This Row],[ENDING INVENTORY]]</f>
        <v>103</v>
      </c>
    </row>
    <row r="494" spans="1:13">
      <c r="A494" t="s">
        <v>9</v>
      </c>
      <c r="B494" t="s">
        <v>161</v>
      </c>
      <c r="C494" t="s">
        <v>102</v>
      </c>
      <c r="D494" t="s">
        <v>29</v>
      </c>
      <c r="E494" s="3">
        <v>2.56</v>
      </c>
      <c r="F494" s="3">
        <v>2.5087999999999999</v>
      </c>
      <c r="G494">
        <v>1.98</v>
      </c>
      <c r="H494" s="3">
        <v>5.0688000000000004</v>
      </c>
      <c r="I494">
        <v>72</v>
      </c>
      <c r="J494">
        <v>2</v>
      </c>
      <c r="K494">
        <v>31</v>
      </c>
      <c r="L494" s="13">
        <f>(Table2[[#This Row],[STARTING INVENTORY]]-Table2[[#This Row],[ENDING INVENTORY]])/(Table2[[#This Row],[STARTING INVENTORY]])</f>
        <v>0.56944444444444442</v>
      </c>
      <c r="M494">
        <f>Table2[[#This Row],[STARTING INVENTORY]]-Table2[[#This Row],[ENDING INVENTORY]]</f>
        <v>41</v>
      </c>
    </row>
    <row r="495" spans="1:13">
      <c r="A495" t="s">
        <v>9</v>
      </c>
      <c r="B495" t="s">
        <v>161</v>
      </c>
      <c r="C495" t="s">
        <v>108</v>
      </c>
      <c r="D495" t="s">
        <v>29</v>
      </c>
      <c r="E495" s="3">
        <v>0.75</v>
      </c>
      <c r="F495" s="3">
        <v>0.73499999999999999</v>
      </c>
      <c r="G495">
        <v>2.1</v>
      </c>
      <c r="H495" s="3">
        <v>1.5750000000000002</v>
      </c>
      <c r="I495">
        <v>59</v>
      </c>
      <c r="J495">
        <v>3</v>
      </c>
      <c r="K495">
        <v>56</v>
      </c>
      <c r="L495" s="13">
        <f>(Table2[[#This Row],[STARTING INVENTORY]]-Table2[[#This Row],[ENDING INVENTORY]])/(Table2[[#This Row],[STARTING INVENTORY]])</f>
        <v>5.0847457627118647E-2</v>
      </c>
      <c r="M495">
        <f>Table2[[#This Row],[STARTING INVENTORY]]-Table2[[#This Row],[ENDING INVENTORY]]</f>
        <v>3</v>
      </c>
    </row>
    <row r="496" spans="1:13">
      <c r="A496" t="s">
        <v>9</v>
      </c>
      <c r="B496" t="s">
        <v>161</v>
      </c>
      <c r="C496" t="s">
        <v>114</v>
      </c>
      <c r="D496" t="s">
        <v>33</v>
      </c>
      <c r="E496" s="3">
        <v>0.4</v>
      </c>
      <c r="F496" s="3">
        <v>0.39200000000000002</v>
      </c>
      <c r="G496">
        <v>1.97</v>
      </c>
      <c r="H496" s="3">
        <v>0.78800000000000003</v>
      </c>
      <c r="I496">
        <v>118</v>
      </c>
      <c r="J496">
        <v>1</v>
      </c>
      <c r="K496">
        <v>117</v>
      </c>
      <c r="L496" s="13">
        <f>(Table2[[#This Row],[STARTING INVENTORY]]-Table2[[#This Row],[ENDING INVENTORY]])/(Table2[[#This Row],[STARTING INVENTORY]])</f>
        <v>8.4745762711864406E-3</v>
      </c>
      <c r="M496">
        <f>Table2[[#This Row],[STARTING INVENTORY]]-Table2[[#This Row],[ENDING INVENTORY]]</f>
        <v>1</v>
      </c>
    </row>
    <row r="497" spans="1:13">
      <c r="A497" t="s">
        <v>9</v>
      </c>
      <c r="B497" t="s">
        <v>161</v>
      </c>
      <c r="C497" t="s">
        <v>120</v>
      </c>
      <c r="D497" t="s">
        <v>29</v>
      </c>
      <c r="E497" s="3">
        <v>1.4</v>
      </c>
      <c r="F497" s="3">
        <v>1.3719999999999999</v>
      </c>
      <c r="G497">
        <v>2.0700000000000003</v>
      </c>
      <c r="H497" s="3">
        <v>2.8980000000000001</v>
      </c>
      <c r="I497">
        <v>149</v>
      </c>
      <c r="J497">
        <v>2</v>
      </c>
      <c r="K497">
        <v>99</v>
      </c>
      <c r="L497" s="13">
        <f>(Table2[[#This Row],[STARTING INVENTORY]]-Table2[[#This Row],[ENDING INVENTORY]])/(Table2[[#This Row],[STARTING INVENTORY]])</f>
        <v>0.33557046979865773</v>
      </c>
      <c r="M497">
        <f>Table2[[#This Row],[STARTING INVENTORY]]-Table2[[#This Row],[ENDING INVENTORY]]</f>
        <v>50</v>
      </c>
    </row>
    <row r="498" spans="1:13">
      <c r="A498" t="s">
        <v>9</v>
      </c>
      <c r="B498" t="s">
        <v>161</v>
      </c>
      <c r="C498" t="s">
        <v>126</v>
      </c>
      <c r="D498" t="s">
        <v>29</v>
      </c>
      <c r="E498" s="3">
        <v>2</v>
      </c>
      <c r="F498" s="3">
        <v>1.96</v>
      </c>
      <c r="G498">
        <v>2.0700000000000003</v>
      </c>
      <c r="H498" s="3">
        <v>4.1400000000000006</v>
      </c>
      <c r="I498">
        <v>83</v>
      </c>
      <c r="J498">
        <v>4</v>
      </c>
      <c r="K498">
        <v>32</v>
      </c>
      <c r="L498" s="13">
        <f>(Table2[[#This Row],[STARTING INVENTORY]]-Table2[[#This Row],[ENDING INVENTORY]])/(Table2[[#This Row],[STARTING INVENTORY]])</f>
        <v>0.61445783132530118</v>
      </c>
      <c r="M498">
        <f>Table2[[#This Row],[STARTING INVENTORY]]-Table2[[#This Row],[ENDING INVENTORY]]</f>
        <v>51</v>
      </c>
    </row>
    <row r="499" spans="1:13">
      <c r="A499" t="s">
        <v>9</v>
      </c>
      <c r="B499" t="s">
        <v>161</v>
      </c>
      <c r="C499" t="s">
        <v>132</v>
      </c>
      <c r="D499" t="s">
        <v>29</v>
      </c>
      <c r="E499" s="3">
        <v>0.45</v>
      </c>
      <c r="F499" s="3">
        <v>0.441</v>
      </c>
      <c r="G499">
        <v>1.96</v>
      </c>
      <c r="H499" s="3">
        <v>0.88200000000000001</v>
      </c>
      <c r="I499">
        <v>187</v>
      </c>
      <c r="J499">
        <v>6</v>
      </c>
      <c r="K499">
        <v>151</v>
      </c>
      <c r="L499" s="13">
        <f>(Table2[[#This Row],[STARTING INVENTORY]]-Table2[[#This Row],[ENDING INVENTORY]])/(Table2[[#This Row],[STARTING INVENTORY]])</f>
        <v>0.19251336898395721</v>
      </c>
      <c r="M499">
        <f>Table2[[#This Row],[STARTING INVENTORY]]-Table2[[#This Row],[ENDING INVENTORY]]</f>
        <v>36</v>
      </c>
    </row>
    <row r="500" spans="1:13">
      <c r="A500" t="s">
        <v>9</v>
      </c>
      <c r="B500" t="s">
        <v>161</v>
      </c>
      <c r="C500" t="s">
        <v>138</v>
      </c>
      <c r="D500" t="s">
        <v>33</v>
      </c>
      <c r="E500" s="3">
        <v>1.9</v>
      </c>
      <c r="F500" s="3">
        <v>1.8619999999999999</v>
      </c>
      <c r="G500">
        <v>2.0700000000000003</v>
      </c>
      <c r="H500" s="3">
        <v>3.9330000000000003</v>
      </c>
      <c r="I500">
        <v>196</v>
      </c>
      <c r="J500">
        <v>1</v>
      </c>
      <c r="K500">
        <v>166</v>
      </c>
      <c r="L500" s="13">
        <f>(Table2[[#This Row],[STARTING INVENTORY]]-Table2[[#This Row],[ENDING INVENTORY]])/(Table2[[#This Row],[STARTING INVENTORY]])</f>
        <v>0.15306122448979592</v>
      </c>
      <c r="M500">
        <f>Table2[[#This Row],[STARTING INVENTORY]]-Table2[[#This Row],[ENDING INVENTORY]]</f>
        <v>30</v>
      </c>
    </row>
    <row r="501" spans="1:13">
      <c r="A501" t="s">
        <v>9</v>
      </c>
      <c r="B501" t="s">
        <v>161</v>
      </c>
      <c r="C501" t="s">
        <v>144</v>
      </c>
      <c r="D501" t="s">
        <v>33</v>
      </c>
      <c r="E501" s="3">
        <v>4</v>
      </c>
      <c r="F501" s="3">
        <v>3.92</v>
      </c>
      <c r="G501">
        <v>2.0700000000000003</v>
      </c>
      <c r="H501" s="3">
        <v>8.2800000000000011</v>
      </c>
      <c r="I501">
        <v>145</v>
      </c>
      <c r="J501">
        <v>0</v>
      </c>
      <c r="K501">
        <v>33</v>
      </c>
      <c r="L501" s="13">
        <f>(Table2[[#This Row],[STARTING INVENTORY]]-Table2[[#This Row],[ENDING INVENTORY]])/(Table2[[#This Row],[STARTING INVENTORY]])</f>
        <v>0.77241379310344827</v>
      </c>
      <c r="M501">
        <f>Table2[[#This Row],[STARTING INVENTORY]]-Table2[[#This Row],[ENDING INVENTORY]]</f>
        <v>112</v>
      </c>
    </row>
    <row r="502" spans="1:13">
      <c r="A502" t="s">
        <v>9</v>
      </c>
      <c r="B502" t="s">
        <v>162</v>
      </c>
      <c r="C502" t="s">
        <v>30</v>
      </c>
      <c r="D502" t="s">
        <v>29</v>
      </c>
      <c r="E502" s="3">
        <v>2.85</v>
      </c>
      <c r="F502" s="3">
        <v>2.7930000000000001</v>
      </c>
      <c r="G502">
        <v>2.0700000000000003</v>
      </c>
      <c r="H502" s="3">
        <v>5.8995000000000006</v>
      </c>
      <c r="I502">
        <v>20</v>
      </c>
      <c r="J502">
        <v>0</v>
      </c>
      <c r="K502">
        <v>4</v>
      </c>
      <c r="L502" s="13">
        <f>(Table2[[#This Row],[STARTING INVENTORY]]-Table2[[#This Row],[ENDING INVENTORY]])/(Table2[[#This Row],[STARTING INVENTORY]])</f>
        <v>0.8</v>
      </c>
      <c r="M502">
        <f>Table2[[#This Row],[STARTING INVENTORY]]-Table2[[#This Row],[ENDING INVENTORY]]</f>
        <v>16</v>
      </c>
    </row>
    <row r="503" spans="1:13">
      <c r="A503" t="s">
        <v>9</v>
      </c>
      <c r="B503" t="s">
        <v>162</v>
      </c>
      <c r="C503" t="s">
        <v>37</v>
      </c>
      <c r="D503" t="s">
        <v>29</v>
      </c>
      <c r="E503" s="3">
        <v>2.5</v>
      </c>
      <c r="F503" s="3">
        <v>2.4500000000000002</v>
      </c>
      <c r="G503">
        <v>2.04</v>
      </c>
      <c r="H503" s="3">
        <v>5.0999999999999996</v>
      </c>
      <c r="I503">
        <v>88</v>
      </c>
      <c r="J503">
        <v>0</v>
      </c>
      <c r="K503">
        <v>6</v>
      </c>
      <c r="L503" s="13">
        <f>(Table2[[#This Row],[STARTING INVENTORY]]-Table2[[#This Row],[ENDING INVENTORY]])/(Table2[[#This Row],[STARTING INVENTORY]])</f>
        <v>0.93181818181818177</v>
      </c>
      <c r="M503">
        <f>Table2[[#This Row],[STARTING INVENTORY]]-Table2[[#This Row],[ENDING INVENTORY]]</f>
        <v>82</v>
      </c>
    </row>
    <row r="504" spans="1:13">
      <c r="A504" t="s">
        <v>9</v>
      </c>
      <c r="B504" t="s">
        <v>162</v>
      </c>
      <c r="C504" t="s">
        <v>43</v>
      </c>
      <c r="D504" t="s">
        <v>29</v>
      </c>
      <c r="E504" s="3">
        <v>2.1</v>
      </c>
      <c r="F504" s="3">
        <v>2.0579999999999998</v>
      </c>
      <c r="G504">
        <v>2.0700000000000003</v>
      </c>
      <c r="H504" s="3">
        <v>4.3470000000000004</v>
      </c>
      <c r="I504">
        <v>23</v>
      </c>
      <c r="J504">
        <v>3</v>
      </c>
      <c r="K504">
        <v>3</v>
      </c>
      <c r="L504" s="13">
        <f>(Table2[[#This Row],[STARTING INVENTORY]]-Table2[[#This Row],[ENDING INVENTORY]])/(Table2[[#This Row],[STARTING INVENTORY]])</f>
        <v>0.86956521739130432</v>
      </c>
      <c r="M504">
        <f>Table2[[#This Row],[STARTING INVENTORY]]-Table2[[#This Row],[ENDING INVENTORY]]</f>
        <v>20</v>
      </c>
    </row>
    <row r="505" spans="1:13">
      <c r="A505" t="s">
        <v>9</v>
      </c>
      <c r="B505" t="s">
        <v>162</v>
      </c>
      <c r="C505" t="s">
        <v>49</v>
      </c>
      <c r="D505" t="s">
        <v>29</v>
      </c>
      <c r="E505" s="3">
        <v>1</v>
      </c>
      <c r="F505" s="3">
        <v>0.98</v>
      </c>
      <c r="G505">
        <v>2.02</v>
      </c>
      <c r="H505" s="3">
        <v>2.02</v>
      </c>
      <c r="I505">
        <v>35</v>
      </c>
      <c r="J505">
        <v>1</v>
      </c>
      <c r="K505">
        <v>0</v>
      </c>
      <c r="L505" s="13">
        <f>(Table2[[#This Row],[STARTING INVENTORY]]-Table2[[#This Row],[ENDING INVENTORY]])/(Table2[[#This Row],[STARTING INVENTORY]])</f>
        <v>1</v>
      </c>
      <c r="M505">
        <f>Table2[[#This Row],[STARTING INVENTORY]]-Table2[[#This Row],[ENDING INVENTORY]]</f>
        <v>35</v>
      </c>
    </row>
    <row r="506" spans="1:13">
      <c r="A506" t="s">
        <v>9</v>
      </c>
      <c r="B506" t="s">
        <v>162</v>
      </c>
      <c r="C506" t="s">
        <v>55</v>
      </c>
      <c r="D506" t="s">
        <v>29</v>
      </c>
      <c r="E506" s="3">
        <v>0.9</v>
      </c>
      <c r="F506" s="3">
        <v>0.88200000000000001</v>
      </c>
      <c r="G506">
        <v>2.09</v>
      </c>
      <c r="H506" s="3">
        <v>1.881</v>
      </c>
      <c r="I506">
        <v>43</v>
      </c>
      <c r="J506">
        <v>2</v>
      </c>
      <c r="K506">
        <v>0</v>
      </c>
      <c r="L506" s="13">
        <f>(Table2[[#This Row],[STARTING INVENTORY]]-Table2[[#This Row],[ENDING INVENTORY]])/(Table2[[#This Row],[STARTING INVENTORY]])</f>
        <v>1</v>
      </c>
      <c r="M506">
        <f>Table2[[#This Row],[STARTING INVENTORY]]-Table2[[#This Row],[ENDING INVENTORY]]</f>
        <v>43</v>
      </c>
    </row>
    <row r="507" spans="1:13">
      <c r="A507" t="s">
        <v>9</v>
      </c>
      <c r="B507" t="s">
        <v>162</v>
      </c>
      <c r="C507" t="s">
        <v>61</v>
      </c>
      <c r="D507" t="s">
        <v>29</v>
      </c>
      <c r="E507" s="3">
        <v>1.9</v>
      </c>
      <c r="F507" s="3">
        <v>1.8619999999999999</v>
      </c>
      <c r="G507">
        <v>1.95</v>
      </c>
      <c r="H507" s="3">
        <v>3.7049999999999996</v>
      </c>
      <c r="I507">
        <v>99</v>
      </c>
      <c r="J507">
        <v>2</v>
      </c>
      <c r="K507">
        <v>46</v>
      </c>
      <c r="L507" s="13">
        <f>(Table2[[#This Row],[STARTING INVENTORY]]-Table2[[#This Row],[ENDING INVENTORY]])/(Table2[[#This Row],[STARTING INVENTORY]])</f>
        <v>0.53535353535353536</v>
      </c>
      <c r="M507">
        <f>Table2[[#This Row],[STARTING INVENTORY]]-Table2[[#This Row],[ENDING INVENTORY]]</f>
        <v>53</v>
      </c>
    </row>
    <row r="508" spans="1:13">
      <c r="A508" t="s">
        <v>9</v>
      </c>
      <c r="B508" t="s">
        <v>162</v>
      </c>
      <c r="C508" t="s">
        <v>67</v>
      </c>
      <c r="D508" t="s">
        <v>29</v>
      </c>
      <c r="E508" s="3">
        <v>1.3</v>
      </c>
      <c r="F508" s="3">
        <v>1.274</v>
      </c>
      <c r="G508">
        <v>1.98</v>
      </c>
      <c r="H508" s="3">
        <v>2.5739999999999998</v>
      </c>
      <c r="I508">
        <v>21</v>
      </c>
      <c r="J508">
        <v>0</v>
      </c>
      <c r="K508">
        <v>19</v>
      </c>
      <c r="L508" s="13">
        <f>(Table2[[#This Row],[STARTING INVENTORY]]-Table2[[#This Row],[ENDING INVENTORY]])/(Table2[[#This Row],[STARTING INVENTORY]])</f>
        <v>9.5238095238095233E-2</v>
      </c>
      <c r="M508">
        <f>Table2[[#This Row],[STARTING INVENTORY]]-Table2[[#This Row],[ENDING INVENTORY]]</f>
        <v>2</v>
      </c>
    </row>
    <row r="509" spans="1:13">
      <c r="A509" t="s">
        <v>9</v>
      </c>
      <c r="B509" t="s">
        <v>162</v>
      </c>
      <c r="C509" t="s">
        <v>73</v>
      </c>
      <c r="D509" t="s">
        <v>29</v>
      </c>
      <c r="E509" s="3">
        <v>4</v>
      </c>
      <c r="F509" s="3">
        <v>3.92</v>
      </c>
      <c r="G509">
        <v>2.0700000000000003</v>
      </c>
      <c r="H509" s="3">
        <v>8.2800000000000011</v>
      </c>
      <c r="I509">
        <v>51</v>
      </c>
      <c r="J509">
        <v>1</v>
      </c>
      <c r="K509">
        <v>18</v>
      </c>
      <c r="L509" s="13">
        <f>(Table2[[#This Row],[STARTING INVENTORY]]-Table2[[#This Row],[ENDING INVENTORY]])/(Table2[[#This Row],[STARTING INVENTORY]])</f>
        <v>0.6470588235294118</v>
      </c>
      <c r="M509">
        <f>Table2[[#This Row],[STARTING INVENTORY]]-Table2[[#This Row],[ENDING INVENTORY]]</f>
        <v>33</v>
      </c>
    </row>
    <row r="510" spans="1:13">
      <c r="A510" t="s">
        <v>9</v>
      </c>
      <c r="B510" t="s">
        <v>162</v>
      </c>
      <c r="C510" t="s">
        <v>79</v>
      </c>
      <c r="D510" t="s">
        <v>29</v>
      </c>
      <c r="E510" s="3">
        <v>2.2000000000000002</v>
      </c>
      <c r="F510" s="3">
        <v>2.1560000000000001</v>
      </c>
      <c r="G510">
        <v>2.1</v>
      </c>
      <c r="H510" s="3">
        <v>4.620000000000001</v>
      </c>
      <c r="I510">
        <v>43</v>
      </c>
      <c r="J510">
        <v>0</v>
      </c>
      <c r="K510">
        <v>28</v>
      </c>
      <c r="L510" s="13">
        <f>(Table2[[#This Row],[STARTING INVENTORY]]-Table2[[#This Row],[ENDING INVENTORY]])/(Table2[[#This Row],[STARTING INVENTORY]])</f>
        <v>0.34883720930232559</v>
      </c>
      <c r="M510">
        <f>Table2[[#This Row],[STARTING INVENTORY]]-Table2[[#This Row],[ENDING INVENTORY]]</f>
        <v>15</v>
      </c>
    </row>
    <row r="511" spans="1:13">
      <c r="A511" t="s">
        <v>9</v>
      </c>
      <c r="B511" t="s">
        <v>162</v>
      </c>
      <c r="C511" t="s">
        <v>85</v>
      </c>
      <c r="D511" t="s">
        <v>29</v>
      </c>
      <c r="E511" s="3">
        <v>2.75</v>
      </c>
      <c r="F511" s="3">
        <v>2.6949999999999998</v>
      </c>
      <c r="G511">
        <v>2.08</v>
      </c>
      <c r="H511" s="3">
        <v>5.7200000000000006</v>
      </c>
      <c r="I511">
        <v>31</v>
      </c>
      <c r="J511">
        <v>1</v>
      </c>
      <c r="K511">
        <v>9</v>
      </c>
      <c r="L511" s="13">
        <f>(Table2[[#This Row],[STARTING INVENTORY]]-Table2[[#This Row],[ENDING INVENTORY]])/(Table2[[#This Row],[STARTING INVENTORY]])</f>
        <v>0.70967741935483875</v>
      </c>
      <c r="M511">
        <f>Table2[[#This Row],[STARTING INVENTORY]]-Table2[[#This Row],[ENDING INVENTORY]]</f>
        <v>22</v>
      </c>
    </row>
    <row r="512" spans="1:13">
      <c r="A512" t="s">
        <v>9</v>
      </c>
      <c r="B512" t="s">
        <v>162</v>
      </c>
      <c r="C512" t="s">
        <v>91</v>
      </c>
      <c r="D512" t="s">
        <v>29</v>
      </c>
      <c r="E512" s="3">
        <v>3.5</v>
      </c>
      <c r="F512" s="3">
        <v>3.4299999999999997</v>
      </c>
      <c r="G512">
        <v>2.0300000000000002</v>
      </c>
      <c r="H512" s="3">
        <v>7.1050000000000004</v>
      </c>
      <c r="I512">
        <v>69</v>
      </c>
      <c r="J512">
        <v>0</v>
      </c>
      <c r="K512">
        <v>59</v>
      </c>
      <c r="L512" s="13">
        <f>(Table2[[#This Row],[STARTING INVENTORY]]-Table2[[#This Row],[ENDING INVENTORY]])/(Table2[[#This Row],[STARTING INVENTORY]])</f>
        <v>0.14492753623188406</v>
      </c>
      <c r="M512">
        <f>Table2[[#This Row],[STARTING INVENTORY]]-Table2[[#This Row],[ENDING INVENTORY]]</f>
        <v>10</v>
      </c>
    </row>
    <row r="513" spans="1:13">
      <c r="A513" t="s">
        <v>9</v>
      </c>
      <c r="B513" t="s">
        <v>162</v>
      </c>
      <c r="C513" t="s">
        <v>97</v>
      </c>
      <c r="D513" t="s">
        <v>29</v>
      </c>
      <c r="E513" s="3">
        <v>8</v>
      </c>
      <c r="F513" s="3">
        <v>7.84</v>
      </c>
      <c r="G513">
        <v>2.0700000000000003</v>
      </c>
      <c r="H513" s="3">
        <v>16.560000000000002</v>
      </c>
      <c r="I513">
        <v>54</v>
      </c>
      <c r="J513">
        <v>5</v>
      </c>
      <c r="K513">
        <v>17</v>
      </c>
      <c r="L513" s="13">
        <f>(Table2[[#This Row],[STARTING INVENTORY]]-Table2[[#This Row],[ENDING INVENTORY]])/(Table2[[#This Row],[STARTING INVENTORY]])</f>
        <v>0.68518518518518523</v>
      </c>
      <c r="M513">
        <f>Table2[[#This Row],[STARTING INVENTORY]]-Table2[[#This Row],[ENDING INVENTORY]]</f>
        <v>37</v>
      </c>
    </row>
    <row r="514" spans="1:13">
      <c r="A514" t="s">
        <v>9</v>
      </c>
      <c r="B514" t="s">
        <v>162</v>
      </c>
      <c r="C514" t="s">
        <v>103</v>
      </c>
      <c r="D514" t="s">
        <v>29</v>
      </c>
      <c r="E514" s="3">
        <v>7</v>
      </c>
      <c r="F514" s="3">
        <v>6.8599999999999994</v>
      </c>
      <c r="G514">
        <v>2.0099999999999998</v>
      </c>
      <c r="H514" s="3">
        <v>14.069999999999999</v>
      </c>
      <c r="I514">
        <v>52</v>
      </c>
      <c r="J514">
        <v>0</v>
      </c>
      <c r="K514">
        <v>27</v>
      </c>
      <c r="L514" s="13">
        <f>(Table2[[#This Row],[STARTING INVENTORY]]-Table2[[#This Row],[ENDING INVENTORY]])/(Table2[[#This Row],[STARTING INVENTORY]])</f>
        <v>0.48076923076923078</v>
      </c>
      <c r="M514">
        <f>Table2[[#This Row],[STARTING INVENTORY]]-Table2[[#This Row],[ENDING INVENTORY]]</f>
        <v>25</v>
      </c>
    </row>
    <row r="515" spans="1:13">
      <c r="A515" t="s">
        <v>9</v>
      </c>
      <c r="B515" t="s">
        <v>162</v>
      </c>
      <c r="C515" t="s">
        <v>109</v>
      </c>
      <c r="D515" t="s">
        <v>29</v>
      </c>
      <c r="E515" s="3">
        <v>1.8</v>
      </c>
      <c r="F515" s="3">
        <v>1.764</v>
      </c>
      <c r="G515">
        <v>2.0700000000000003</v>
      </c>
      <c r="H515" s="3">
        <v>3.7260000000000004</v>
      </c>
      <c r="I515">
        <v>52</v>
      </c>
      <c r="J515">
        <v>8</v>
      </c>
      <c r="K515">
        <v>34</v>
      </c>
      <c r="L515" s="13">
        <f>(Table2[[#This Row],[STARTING INVENTORY]]-Table2[[#This Row],[ENDING INVENTORY]])/(Table2[[#This Row],[STARTING INVENTORY]])</f>
        <v>0.34615384615384615</v>
      </c>
      <c r="M515">
        <f>Table2[[#This Row],[STARTING INVENTORY]]-Table2[[#This Row],[ENDING INVENTORY]]</f>
        <v>18</v>
      </c>
    </row>
    <row r="516" spans="1:13">
      <c r="A516" t="s">
        <v>9</v>
      </c>
      <c r="B516" t="s">
        <v>162</v>
      </c>
      <c r="C516" t="s">
        <v>115</v>
      </c>
      <c r="D516" t="s">
        <v>29</v>
      </c>
      <c r="E516" s="3">
        <v>9</v>
      </c>
      <c r="F516" s="3">
        <v>8.82</v>
      </c>
      <c r="G516">
        <v>1.98</v>
      </c>
      <c r="H516" s="3">
        <v>17.82</v>
      </c>
      <c r="I516">
        <v>80</v>
      </c>
      <c r="J516">
        <v>1</v>
      </c>
      <c r="K516">
        <v>42</v>
      </c>
      <c r="L516" s="13">
        <f>(Table2[[#This Row],[STARTING INVENTORY]]-Table2[[#This Row],[ENDING INVENTORY]])/(Table2[[#This Row],[STARTING INVENTORY]])</f>
        <v>0.47499999999999998</v>
      </c>
      <c r="M516">
        <f>Table2[[#This Row],[STARTING INVENTORY]]-Table2[[#This Row],[ENDING INVENTORY]]</f>
        <v>38</v>
      </c>
    </row>
    <row r="517" spans="1:13">
      <c r="A517" t="s">
        <v>9</v>
      </c>
      <c r="B517" t="s">
        <v>162</v>
      </c>
      <c r="C517" t="s">
        <v>121</v>
      </c>
      <c r="D517" t="s">
        <v>29</v>
      </c>
      <c r="E517" s="3">
        <v>0.95</v>
      </c>
      <c r="F517" s="3">
        <v>0.93099999999999994</v>
      </c>
      <c r="G517">
        <v>2.09</v>
      </c>
      <c r="H517" s="3">
        <v>1.9854999999999998</v>
      </c>
      <c r="I517">
        <v>70</v>
      </c>
      <c r="J517">
        <v>5</v>
      </c>
      <c r="K517">
        <v>10</v>
      </c>
      <c r="L517" s="13">
        <f>(Table2[[#This Row],[STARTING INVENTORY]]-Table2[[#This Row],[ENDING INVENTORY]])/(Table2[[#This Row],[STARTING INVENTORY]])</f>
        <v>0.8571428571428571</v>
      </c>
      <c r="M517">
        <f>Table2[[#This Row],[STARTING INVENTORY]]-Table2[[#This Row],[ENDING INVENTORY]]</f>
        <v>60</v>
      </c>
    </row>
    <row r="518" spans="1:13">
      <c r="A518" t="s">
        <v>9</v>
      </c>
      <c r="B518" t="s">
        <v>162</v>
      </c>
      <c r="C518" t="s">
        <v>127</v>
      </c>
      <c r="D518" t="s">
        <v>29</v>
      </c>
      <c r="E518" s="3">
        <v>1.85</v>
      </c>
      <c r="F518" s="3">
        <v>1.8129999999999999</v>
      </c>
      <c r="G518">
        <v>1.96</v>
      </c>
      <c r="H518" s="3">
        <v>3.6259999999999999</v>
      </c>
      <c r="I518">
        <v>62</v>
      </c>
      <c r="J518">
        <v>3</v>
      </c>
      <c r="K518">
        <v>48</v>
      </c>
      <c r="L518" s="13">
        <f>(Table2[[#This Row],[STARTING INVENTORY]]-Table2[[#This Row],[ENDING INVENTORY]])/(Table2[[#This Row],[STARTING INVENTORY]])</f>
        <v>0.22580645161290322</v>
      </c>
      <c r="M518">
        <f>Table2[[#This Row],[STARTING INVENTORY]]-Table2[[#This Row],[ENDING INVENTORY]]</f>
        <v>14</v>
      </c>
    </row>
    <row r="519" spans="1:13">
      <c r="A519" t="s">
        <v>9</v>
      </c>
      <c r="B519" t="s">
        <v>162</v>
      </c>
      <c r="C519" t="s">
        <v>133</v>
      </c>
      <c r="D519" t="s">
        <v>29</v>
      </c>
      <c r="E519" s="3">
        <v>5.5</v>
      </c>
      <c r="F519" s="3">
        <v>5.39</v>
      </c>
      <c r="G519">
        <v>2.1</v>
      </c>
      <c r="H519" s="3">
        <v>11.55</v>
      </c>
      <c r="I519">
        <v>31</v>
      </c>
      <c r="J519">
        <v>4</v>
      </c>
      <c r="K519">
        <v>16</v>
      </c>
      <c r="L519" s="13">
        <f>(Table2[[#This Row],[STARTING INVENTORY]]-Table2[[#This Row],[ENDING INVENTORY]])/(Table2[[#This Row],[STARTING INVENTORY]])</f>
        <v>0.4838709677419355</v>
      </c>
      <c r="M519">
        <f>Table2[[#This Row],[STARTING INVENTORY]]-Table2[[#This Row],[ENDING INVENTORY]]</f>
        <v>15</v>
      </c>
    </row>
    <row r="520" spans="1:13">
      <c r="A520" t="s">
        <v>9</v>
      </c>
      <c r="B520" t="s">
        <v>162</v>
      </c>
      <c r="C520" t="s">
        <v>139</v>
      </c>
      <c r="D520" t="s">
        <v>29</v>
      </c>
      <c r="E520" s="3">
        <v>1.9</v>
      </c>
      <c r="F520" s="3">
        <v>1.8619999999999999</v>
      </c>
      <c r="G520">
        <v>2.08</v>
      </c>
      <c r="H520" s="3">
        <v>3.952</v>
      </c>
      <c r="I520">
        <v>86</v>
      </c>
      <c r="J520">
        <v>4</v>
      </c>
      <c r="K520">
        <v>37</v>
      </c>
      <c r="L520" s="13">
        <f>(Table2[[#This Row],[STARTING INVENTORY]]-Table2[[#This Row],[ENDING INVENTORY]])/(Table2[[#This Row],[STARTING INVENTORY]])</f>
        <v>0.56976744186046513</v>
      </c>
      <c r="M520">
        <f>Table2[[#This Row],[STARTING INVENTORY]]-Table2[[#This Row],[ENDING INVENTORY]]</f>
        <v>49</v>
      </c>
    </row>
    <row r="521" spans="1:13">
      <c r="A521" t="s">
        <v>9</v>
      </c>
      <c r="B521" t="s">
        <v>162</v>
      </c>
      <c r="C521" t="s">
        <v>145</v>
      </c>
      <c r="D521" t="s">
        <v>29</v>
      </c>
      <c r="E521" s="3">
        <v>2.75</v>
      </c>
      <c r="F521" s="3">
        <v>2.6949999999999998</v>
      </c>
      <c r="G521">
        <v>1.99</v>
      </c>
      <c r="H521" s="3">
        <v>5.4725000000000001</v>
      </c>
      <c r="I521">
        <v>84</v>
      </c>
      <c r="J521">
        <v>2</v>
      </c>
      <c r="K521">
        <v>63</v>
      </c>
      <c r="L521" s="13">
        <f>(Table2[[#This Row],[STARTING INVENTORY]]-Table2[[#This Row],[ENDING INVENTORY]])/(Table2[[#This Row],[STARTING INVENTORY]])</f>
        <v>0.25</v>
      </c>
      <c r="M521">
        <f>Table2[[#This Row],[STARTING INVENTORY]]-Table2[[#This Row],[ENDING INVENTORY]]</f>
        <v>21</v>
      </c>
    </row>
    <row r="522" spans="1:13">
      <c r="A522" t="s">
        <v>9</v>
      </c>
      <c r="B522" t="s">
        <v>163</v>
      </c>
      <c r="C522" t="s">
        <v>32</v>
      </c>
      <c r="D522" t="s">
        <v>33</v>
      </c>
      <c r="E522" s="3">
        <v>3.25</v>
      </c>
      <c r="F522" s="3">
        <v>3.1850000000000001</v>
      </c>
      <c r="G522">
        <v>2.04</v>
      </c>
      <c r="H522" s="3">
        <v>6.63</v>
      </c>
      <c r="I522">
        <v>82</v>
      </c>
      <c r="J522">
        <v>2</v>
      </c>
      <c r="K522">
        <v>68</v>
      </c>
      <c r="L522" s="13">
        <f>(Table2[[#This Row],[STARTING INVENTORY]]-Table2[[#This Row],[ENDING INVENTORY]])/(Table2[[#This Row],[STARTING INVENTORY]])</f>
        <v>0.17073170731707318</v>
      </c>
      <c r="M522">
        <f>Table2[[#This Row],[STARTING INVENTORY]]-Table2[[#This Row],[ENDING INVENTORY]]</f>
        <v>14</v>
      </c>
    </row>
    <row r="523" spans="1:13">
      <c r="A523" t="s">
        <v>9</v>
      </c>
      <c r="B523" t="s">
        <v>163</v>
      </c>
      <c r="C523" t="s">
        <v>39</v>
      </c>
      <c r="D523" t="s">
        <v>33</v>
      </c>
      <c r="E523" s="3">
        <v>0.9</v>
      </c>
      <c r="F523" s="3">
        <v>0.88200000000000001</v>
      </c>
      <c r="G523">
        <v>1.98</v>
      </c>
      <c r="H523" s="3">
        <v>1.782</v>
      </c>
      <c r="I523">
        <v>89</v>
      </c>
      <c r="J523">
        <v>2</v>
      </c>
      <c r="K523">
        <v>7</v>
      </c>
      <c r="L523" s="13">
        <f>(Table2[[#This Row],[STARTING INVENTORY]]-Table2[[#This Row],[ENDING INVENTORY]])/(Table2[[#This Row],[STARTING INVENTORY]])</f>
        <v>0.9213483146067416</v>
      </c>
      <c r="M523">
        <f>Table2[[#This Row],[STARTING INVENTORY]]-Table2[[#This Row],[ENDING INVENTORY]]</f>
        <v>82</v>
      </c>
    </row>
    <row r="524" spans="1:13">
      <c r="A524" t="s">
        <v>9</v>
      </c>
      <c r="B524" t="s">
        <v>163</v>
      </c>
      <c r="C524" t="s">
        <v>45</v>
      </c>
      <c r="D524" t="s">
        <v>33</v>
      </c>
      <c r="E524" s="3">
        <v>1.6</v>
      </c>
      <c r="F524" s="3">
        <v>1.5680000000000001</v>
      </c>
      <c r="G524">
        <v>1.95</v>
      </c>
      <c r="H524" s="3">
        <v>3.12</v>
      </c>
      <c r="I524">
        <v>123</v>
      </c>
      <c r="J524">
        <v>2</v>
      </c>
      <c r="K524">
        <v>33</v>
      </c>
      <c r="L524" s="13">
        <f>(Table2[[#This Row],[STARTING INVENTORY]]-Table2[[#This Row],[ENDING INVENTORY]])/(Table2[[#This Row],[STARTING INVENTORY]])</f>
        <v>0.73170731707317072</v>
      </c>
      <c r="M524">
        <f>Table2[[#This Row],[STARTING INVENTORY]]-Table2[[#This Row],[ENDING INVENTORY]]</f>
        <v>90</v>
      </c>
    </row>
    <row r="525" spans="1:13">
      <c r="A525" t="s">
        <v>9</v>
      </c>
      <c r="B525" t="s">
        <v>163</v>
      </c>
      <c r="C525" t="s">
        <v>51</v>
      </c>
      <c r="D525" t="s">
        <v>33</v>
      </c>
      <c r="E525" s="3">
        <v>1.1000000000000001</v>
      </c>
      <c r="F525" s="3">
        <v>1.0780000000000001</v>
      </c>
      <c r="G525">
        <v>1.99</v>
      </c>
      <c r="H525" s="3">
        <v>2.1890000000000001</v>
      </c>
      <c r="I525">
        <v>92</v>
      </c>
      <c r="J525">
        <v>0</v>
      </c>
      <c r="K525">
        <v>47</v>
      </c>
      <c r="L525" s="13">
        <f>(Table2[[#This Row],[STARTING INVENTORY]]-Table2[[#This Row],[ENDING INVENTORY]])/(Table2[[#This Row],[STARTING INVENTORY]])</f>
        <v>0.4891304347826087</v>
      </c>
      <c r="M525">
        <f>Table2[[#This Row],[STARTING INVENTORY]]-Table2[[#This Row],[ENDING INVENTORY]]</f>
        <v>45</v>
      </c>
    </row>
    <row r="526" spans="1:13">
      <c r="A526" t="s">
        <v>9</v>
      </c>
      <c r="B526" t="s">
        <v>163</v>
      </c>
      <c r="C526" t="s">
        <v>57</v>
      </c>
      <c r="D526" t="s">
        <v>33</v>
      </c>
      <c r="E526" s="3">
        <v>0.95</v>
      </c>
      <c r="F526" s="3">
        <v>0.93099999999999994</v>
      </c>
      <c r="G526">
        <v>1.98</v>
      </c>
      <c r="H526" s="3">
        <v>1.881</v>
      </c>
      <c r="I526">
        <v>93</v>
      </c>
      <c r="J526">
        <v>1</v>
      </c>
      <c r="K526">
        <v>55</v>
      </c>
      <c r="L526" s="13">
        <f>(Table2[[#This Row],[STARTING INVENTORY]]-Table2[[#This Row],[ENDING INVENTORY]])/(Table2[[#This Row],[STARTING INVENTORY]])</f>
        <v>0.40860215053763443</v>
      </c>
      <c r="M526">
        <f>Table2[[#This Row],[STARTING INVENTORY]]-Table2[[#This Row],[ENDING INVENTORY]]</f>
        <v>38</v>
      </c>
    </row>
    <row r="527" spans="1:13">
      <c r="A527" t="s">
        <v>9</v>
      </c>
      <c r="B527" t="s">
        <v>163</v>
      </c>
      <c r="C527" t="s">
        <v>63</v>
      </c>
      <c r="D527" t="s">
        <v>33</v>
      </c>
      <c r="E527" s="3">
        <v>2.75</v>
      </c>
      <c r="F527" s="3">
        <v>2.6949999999999998</v>
      </c>
      <c r="G527">
        <v>2.02</v>
      </c>
      <c r="H527" s="3">
        <v>5.5549999999999997</v>
      </c>
      <c r="I527">
        <v>78</v>
      </c>
      <c r="J527">
        <v>3</v>
      </c>
      <c r="K527">
        <v>75</v>
      </c>
      <c r="L527" s="13">
        <f>(Table2[[#This Row],[STARTING INVENTORY]]-Table2[[#This Row],[ENDING INVENTORY]])/(Table2[[#This Row],[STARTING INVENTORY]])</f>
        <v>3.8461538461538464E-2</v>
      </c>
      <c r="M527">
        <f>Table2[[#This Row],[STARTING INVENTORY]]-Table2[[#This Row],[ENDING INVENTORY]]</f>
        <v>3</v>
      </c>
    </row>
    <row r="528" spans="1:13">
      <c r="A528" t="s">
        <v>9</v>
      </c>
      <c r="B528" t="s">
        <v>163</v>
      </c>
      <c r="C528" t="s">
        <v>69</v>
      </c>
      <c r="D528" t="s">
        <v>33</v>
      </c>
      <c r="E528" s="3">
        <v>1.9</v>
      </c>
      <c r="F528" s="3">
        <v>1.8619999999999999</v>
      </c>
      <c r="G528">
        <v>2.09</v>
      </c>
      <c r="H528" s="3">
        <v>3.9709999999999996</v>
      </c>
      <c r="I528">
        <v>62</v>
      </c>
      <c r="J528">
        <v>2</v>
      </c>
      <c r="K528">
        <v>37</v>
      </c>
      <c r="L528" s="13">
        <f>(Table2[[#This Row],[STARTING INVENTORY]]-Table2[[#This Row],[ENDING INVENTORY]])/(Table2[[#This Row],[STARTING INVENTORY]])</f>
        <v>0.40322580645161288</v>
      </c>
      <c r="M528">
        <f>Table2[[#This Row],[STARTING INVENTORY]]-Table2[[#This Row],[ENDING INVENTORY]]</f>
        <v>25</v>
      </c>
    </row>
    <row r="529" spans="1:13">
      <c r="A529" t="s">
        <v>9</v>
      </c>
      <c r="B529" t="s">
        <v>163</v>
      </c>
      <c r="C529" t="s">
        <v>75</v>
      </c>
      <c r="D529" t="s">
        <v>33</v>
      </c>
      <c r="E529" s="3">
        <v>4</v>
      </c>
      <c r="F529" s="3">
        <v>3.92</v>
      </c>
      <c r="G529">
        <v>2.08</v>
      </c>
      <c r="H529" s="3">
        <v>8.32</v>
      </c>
      <c r="I529">
        <v>61</v>
      </c>
      <c r="J529">
        <v>5</v>
      </c>
      <c r="K529">
        <v>0</v>
      </c>
      <c r="L529" s="13">
        <f>(Table2[[#This Row],[STARTING INVENTORY]]-Table2[[#This Row],[ENDING INVENTORY]])/(Table2[[#This Row],[STARTING INVENTORY]])</f>
        <v>1</v>
      </c>
      <c r="M529">
        <f>Table2[[#This Row],[STARTING INVENTORY]]-Table2[[#This Row],[ENDING INVENTORY]]</f>
        <v>61</v>
      </c>
    </row>
    <row r="530" spans="1:13">
      <c r="A530" t="s">
        <v>9</v>
      </c>
      <c r="B530" t="s">
        <v>163</v>
      </c>
      <c r="C530" t="s">
        <v>81</v>
      </c>
      <c r="D530" t="s">
        <v>33</v>
      </c>
      <c r="E530" s="3">
        <v>0.8</v>
      </c>
      <c r="F530" s="3">
        <v>0.78400000000000003</v>
      </c>
      <c r="G530">
        <v>1.96</v>
      </c>
      <c r="H530" s="3">
        <v>1.5680000000000001</v>
      </c>
      <c r="I530">
        <v>144</v>
      </c>
      <c r="J530">
        <v>3</v>
      </c>
      <c r="K530">
        <v>30</v>
      </c>
      <c r="L530" s="13">
        <f>(Table2[[#This Row],[STARTING INVENTORY]]-Table2[[#This Row],[ENDING INVENTORY]])/(Table2[[#This Row],[STARTING INVENTORY]])</f>
        <v>0.79166666666666663</v>
      </c>
      <c r="M530">
        <f>Table2[[#This Row],[STARTING INVENTORY]]-Table2[[#This Row],[ENDING INVENTORY]]</f>
        <v>114</v>
      </c>
    </row>
    <row r="531" spans="1:13">
      <c r="A531" t="s">
        <v>9</v>
      </c>
      <c r="B531" t="s">
        <v>163</v>
      </c>
      <c r="C531" t="s">
        <v>87</v>
      </c>
      <c r="D531" t="s">
        <v>33</v>
      </c>
      <c r="E531" s="3">
        <v>4.25</v>
      </c>
      <c r="F531" s="3">
        <v>4.165</v>
      </c>
      <c r="G531">
        <v>2.0099999999999998</v>
      </c>
      <c r="H531" s="3">
        <v>8.5424999999999986</v>
      </c>
      <c r="I531">
        <v>95</v>
      </c>
      <c r="J531">
        <v>10</v>
      </c>
      <c r="K531">
        <v>3</v>
      </c>
      <c r="L531" s="13">
        <f>(Table2[[#This Row],[STARTING INVENTORY]]-Table2[[#This Row],[ENDING INVENTORY]])/(Table2[[#This Row],[STARTING INVENTORY]])</f>
        <v>0.96842105263157896</v>
      </c>
      <c r="M531">
        <f>Table2[[#This Row],[STARTING INVENTORY]]-Table2[[#This Row],[ENDING INVENTORY]]</f>
        <v>92</v>
      </c>
    </row>
    <row r="532" spans="1:13">
      <c r="A532" t="s">
        <v>9</v>
      </c>
      <c r="B532" t="s">
        <v>163</v>
      </c>
      <c r="C532" t="s">
        <v>93</v>
      </c>
      <c r="D532" t="s">
        <v>33</v>
      </c>
      <c r="E532" s="3">
        <v>1.6</v>
      </c>
      <c r="F532" s="3">
        <v>1.5680000000000001</v>
      </c>
      <c r="G532">
        <v>2.02</v>
      </c>
      <c r="H532" s="3">
        <v>3.2320000000000002</v>
      </c>
      <c r="I532">
        <v>51</v>
      </c>
      <c r="J532">
        <v>1</v>
      </c>
      <c r="K532">
        <v>48</v>
      </c>
      <c r="L532" s="13">
        <f>(Table2[[#This Row],[STARTING INVENTORY]]-Table2[[#This Row],[ENDING INVENTORY]])/(Table2[[#This Row],[STARTING INVENTORY]])</f>
        <v>5.8823529411764705E-2</v>
      </c>
      <c r="M532">
        <f>Table2[[#This Row],[STARTING INVENTORY]]-Table2[[#This Row],[ENDING INVENTORY]]</f>
        <v>3</v>
      </c>
    </row>
    <row r="533" spans="1:13">
      <c r="A533" t="s">
        <v>9</v>
      </c>
      <c r="B533" t="s">
        <v>163</v>
      </c>
      <c r="C533" t="s">
        <v>99</v>
      </c>
      <c r="D533" t="s">
        <v>33</v>
      </c>
      <c r="E533" s="3">
        <v>1.65</v>
      </c>
      <c r="F533" s="3">
        <v>1.617</v>
      </c>
      <c r="G533">
        <v>2.02</v>
      </c>
      <c r="H533" s="3">
        <v>3.3329999999999997</v>
      </c>
      <c r="I533">
        <v>84</v>
      </c>
      <c r="J533">
        <v>1</v>
      </c>
      <c r="K533">
        <v>49</v>
      </c>
      <c r="L533" s="13">
        <f>(Table2[[#This Row],[STARTING INVENTORY]]-Table2[[#This Row],[ENDING INVENTORY]])/(Table2[[#This Row],[STARTING INVENTORY]])</f>
        <v>0.41666666666666669</v>
      </c>
      <c r="M533">
        <f>Table2[[#This Row],[STARTING INVENTORY]]-Table2[[#This Row],[ENDING INVENTORY]]</f>
        <v>35</v>
      </c>
    </row>
    <row r="534" spans="1:13">
      <c r="A534" t="s">
        <v>9</v>
      </c>
      <c r="B534" t="s">
        <v>163</v>
      </c>
      <c r="C534" t="s">
        <v>105</v>
      </c>
      <c r="D534" t="s">
        <v>33</v>
      </c>
      <c r="E534" s="3">
        <v>2.2000000000000002</v>
      </c>
      <c r="F534" s="3">
        <v>2.1560000000000001</v>
      </c>
      <c r="G534">
        <v>2.1</v>
      </c>
      <c r="H534" s="3">
        <v>4.620000000000001</v>
      </c>
      <c r="I534">
        <v>136</v>
      </c>
      <c r="J534">
        <v>1</v>
      </c>
      <c r="K534">
        <v>68</v>
      </c>
      <c r="L534" s="13">
        <f>(Table2[[#This Row],[STARTING INVENTORY]]-Table2[[#This Row],[ENDING INVENTORY]])/(Table2[[#This Row],[STARTING INVENTORY]])</f>
        <v>0.5</v>
      </c>
      <c r="M534">
        <f>Table2[[#This Row],[STARTING INVENTORY]]-Table2[[#This Row],[ENDING INVENTORY]]</f>
        <v>68</v>
      </c>
    </row>
    <row r="535" spans="1:13">
      <c r="A535" t="s">
        <v>9</v>
      </c>
      <c r="B535" t="s">
        <v>163</v>
      </c>
      <c r="C535" t="s">
        <v>111</v>
      </c>
      <c r="D535" t="s">
        <v>33</v>
      </c>
      <c r="E535" s="3">
        <v>4</v>
      </c>
      <c r="F535" s="3">
        <v>3.92</v>
      </c>
      <c r="G535">
        <v>2.1</v>
      </c>
      <c r="H535" s="3">
        <v>8.4</v>
      </c>
      <c r="I535">
        <v>130</v>
      </c>
      <c r="J535">
        <v>2</v>
      </c>
      <c r="K535">
        <v>119</v>
      </c>
      <c r="L535" s="13">
        <f>(Table2[[#This Row],[STARTING INVENTORY]]-Table2[[#This Row],[ENDING INVENTORY]])/(Table2[[#This Row],[STARTING INVENTORY]])</f>
        <v>8.461538461538462E-2</v>
      </c>
      <c r="M535">
        <f>Table2[[#This Row],[STARTING INVENTORY]]-Table2[[#This Row],[ENDING INVENTORY]]</f>
        <v>11</v>
      </c>
    </row>
    <row r="536" spans="1:13">
      <c r="A536" t="s">
        <v>9</v>
      </c>
      <c r="B536" t="s">
        <v>163</v>
      </c>
      <c r="C536" t="s">
        <v>117</v>
      </c>
      <c r="D536" t="s">
        <v>33</v>
      </c>
      <c r="E536" s="3">
        <v>5.25</v>
      </c>
      <c r="F536" s="3">
        <v>5.1449999999999996</v>
      </c>
      <c r="G536">
        <v>2.0499999999999998</v>
      </c>
      <c r="H536" s="3">
        <v>10.762499999999999</v>
      </c>
      <c r="I536">
        <v>139</v>
      </c>
      <c r="J536">
        <v>5</v>
      </c>
      <c r="K536">
        <v>87</v>
      </c>
      <c r="L536" s="13">
        <f>(Table2[[#This Row],[STARTING INVENTORY]]-Table2[[#This Row],[ENDING INVENTORY]])/(Table2[[#This Row],[STARTING INVENTORY]])</f>
        <v>0.37410071942446044</v>
      </c>
      <c r="M536">
        <f>Table2[[#This Row],[STARTING INVENTORY]]-Table2[[#This Row],[ENDING INVENTORY]]</f>
        <v>52</v>
      </c>
    </row>
    <row r="537" spans="1:13">
      <c r="A537" t="s">
        <v>9</v>
      </c>
      <c r="B537" t="s">
        <v>163</v>
      </c>
      <c r="C537" t="s">
        <v>123</v>
      </c>
      <c r="D537" t="s">
        <v>33</v>
      </c>
      <c r="E537" s="3">
        <v>2</v>
      </c>
      <c r="F537" s="3">
        <v>1.96</v>
      </c>
      <c r="G537">
        <v>2.0300000000000002</v>
      </c>
      <c r="H537" s="3">
        <v>4.0600000000000005</v>
      </c>
      <c r="I537">
        <v>57</v>
      </c>
      <c r="J537">
        <v>0</v>
      </c>
      <c r="K537">
        <v>2</v>
      </c>
      <c r="L537" s="13">
        <f>(Table2[[#This Row],[STARTING INVENTORY]]-Table2[[#This Row],[ENDING INVENTORY]])/(Table2[[#This Row],[STARTING INVENTORY]])</f>
        <v>0.96491228070175439</v>
      </c>
      <c r="M537">
        <f>Table2[[#This Row],[STARTING INVENTORY]]-Table2[[#This Row],[ENDING INVENTORY]]</f>
        <v>55</v>
      </c>
    </row>
    <row r="538" spans="1:13">
      <c r="A538" t="s">
        <v>9</v>
      </c>
      <c r="B538" t="s">
        <v>163</v>
      </c>
      <c r="C538" t="s">
        <v>129</v>
      </c>
      <c r="D538" t="s">
        <v>33</v>
      </c>
      <c r="E538" s="3">
        <v>2.8</v>
      </c>
      <c r="F538" s="3">
        <v>2.7439999999999998</v>
      </c>
      <c r="G538">
        <v>1.95</v>
      </c>
      <c r="H538" s="3">
        <v>5.46</v>
      </c>
      <c r="I538">
        <v>142</v>
      </c>
      <c r="J538">
        <v>4</v>
      </c>
      <c r="K538">
        <v>74</v>
      </c>
      <c r="L538" s="13">
        <f>(Table2[[#This Row],[STARTING INVENTORY]]-Table2[[#This Row],[ENDING INVENTORY]])/(Table2[[#This Row],[STARTING INVENTORY]])</f>
        <v>0.47887323943661969</v>
      </c>
      <c r="M538">
        <f>Table2[[#This Row],[STARTING INVENTORY]]-Table2[[#This Row],[ENDING INVENTORY]]</f>
        <v>68</v>
      </c>
    </row>
    <row r="539" spans="1:13">
      <c r="A539" t="s">
        <v>9</v>
      </c>
      <c r="B539" t="s">
        <v>163</v>
      </c>
      <c r="C539" t="s">
        <v>135</v>
      </c>
      <c r="D539" t="s">
        <v>33</v>
      </c>
      <c r="E539" s="3">
        <v>1.35</v>
      </c>
      <c r="F539" s="3">
        <v>1.323</v>
      </c>
      <c r="G539">
        <v>2.06</v>
      </c>
      <c r="H539" s="3">
        <v>2.7810000000000001</v>
      </c>
      <c r="I539">
        <v>75</v>
      </c>
      <c r="J539">
        <v>1</v>
      </c>
      <c r="K539">
        <v>44</v>
      </c>
      <c r="L539" s="13">
        <f>(Table2[[#This Row],[STARTING INVENTORY]]-Table2[[#This Row],[ENDING INVENTORY]])/(Table2[[#This Row],[STARTING INVENTORY]])</f>
        <v>0.41333333333333333</v>
      </c>
      <c r="M539">
        <f>Table2[[#This Row],[STARTING INVENTORY]]-Table2[[#This Row],[ENDING INVENTORY]]</f>
        <v>31</v>
      </c>
    </row>
    <row r="540" spans="1:13">
      <c r="A540" t="s">
        <v>9</v>
      </c>
      <c r="B540" t="s">
        <v>163</v>
      </c>
      <c r="C540" t="s">
        <v>141</v>
      </c>
      <c r="D540" t="s">
        <v>33</v>
      </c>
      <c r="E540" s="3">
        <v>2.25</v>
      </c>
      <c r="F540" s="3">
        <v>2.2050000000000001</v>
      </c>
      <c r="G540">
        <v>2.02</v>
      </c>
      <c r="H540" s="3">
        <v>4.5449999999999999</v>
      </c>
      <c r="I540">
        <v>123</v>
      </c>
      <c r="J540">
        <v>3</v>
      </c>
      <c r="K540">
        <v>3</v>
      </c>
      <c r="L540" s="13">
        <f>(Table2[[#This Row],[STARTING INVENTORY]]-Table2[[#This Row],[ENDING INVENTORY]])/(Table2[[#This Row],[STARTING INVENTORY]])</f>
        <v>0.97560975609756095</v>
      </c>
      <c r="M540">
        <f>Table2[[#This Row],[STARTING INVENTORY]]-Table2[[#This Row],[ENDING INVENTORY]]</f>
        <v>120</v>
      </c>
    </row>
    <row r="541" spans="1:13">
      <c r="A541" t="s">
        <v>9</v>
      </c>
      <c r="B541" t="s">
        <v>163</v>
      </c>
      <c r="C541" t="s">
        <v>147</v>
      </c>
      <c r="D541" t="s">
        <v>33</v>
      </c>
      <c r="E541" s="3">
        <v>2.8</v>
      </c>
      <c r="F541" s="3">
        <v>2.7439999999999998</v>
      </c>
      <c r="G541">
        <v>2.08</v>
      </c>
      <c r="H541" s="3">
        <v>5.8239999999999998</v>
      </c>
      <c r="I541">
        <v>139</v>
      </c>
      <c r="J541">
        <v>3</v>
      </c>
      <c r="K541">
        <v>106</v>
      </c>
      <c r="L541" s="13">
        <f>(Table2[[#This Row],[STARTING INVENTORY]]-Table2[[#This Row],[ENDING INVENTORY]])/(Table2[[#This Row],[STARTING INVENTORY]])</f>
        <v>0.23741007194244604</v>
      </c>
      <c r="M541">
        <f>Table2[[#This Row],[STARTING INVENTORY]]-Table2[[#This Row],[ENDING INVENTORY]]</f>
        <v>33</v>
      </c>
    </row>
    <row r="542" spans="1:13">
      <c r="A542" t="s">
        <v>9</v>
      </c>
      <c r="B542" t="s">
        <v>164</v>
      </c>
      <c r="C542" t="s">
        <v>31</v>
      </c>
      <c r="D542" t="s">
        <v>29</v>
      </c>
      <c r="E542" s="3">
        <v>5.25</v>
      </c>
      <c r="F542" s="3">
        <v>5.1449999999999996</v>
      </c>
      <c r="G542">
        <v>2.04</v>
      </c>
      <c r="H542" s="3">
        <v>10.71</v>
      </c>
      <c r="I542">
        <v>63</v>
      </c>
      <c r="J542">
        <v>1</v>
      </c>
      <c r="K542">
        <v>26</v>
      </c>
      <c r="L542" s="13">
        <f>(Table2[[#This Row],[STARTING INVENTORY]]-Table2[[#This Row],[ENDING INVENTORY]])/(Table2[[#This Row],[STARTING INVENTORY]])</f>
        <v>0.58730158730158732</v>
      </c>
      <c r="M542">
        <f>Table2[[#This Row],[STARTING INVENTORY]]-Table2[[#This Row],[ENDING INVENTORY]]</f>
        <v>37</v>
      </c>
    </row>
    <row r="543" spans="1:13">
      <c r="A543" t="s">
        <v>9</v>
      </c>
      <c r="B543" t="s">
        <v>164</v>
      </c>
      <c r="C543" t="s">
        <v>38</v>
      </c>
      <c r="D543" t="s">
        <v>29</v>
      </c>
      <c r="E543" s="3">
        <v>4.75</v>
      </c>
      <c r="F543" s="3">
        <v>4.6550000000000002</v>
      </c>
      <c r="G543">
        <v>2.08</v>
      </c>
      <c r="H543" s="3">
        <v>9.8800000000000008</v>
      </c>
      <c r="I543">
        <v>36</v>
      </c>
      <c r="J543">
        <v>2</v>
      </c>
      <c r="K543">
        <v>5</v>
      </c>
      <c r="L543" s="13">
        <f>(Table2[[#This Row],[STARTING INVENTORY]]-Table2[[#This Row],[ENDING INVENTORY]])/(Table2[[#This Row],[STARTING INVENTORY]])</f>
        <v>0.86111111111111116</v>
      </c>
      <c r="M543">
        <f>Table2[[#This Row],[STARTING INVENTORY]]-Table2[[#This Row],[ENDING INVENTORY]]</f>
        <v>31</v>
      </c>
    </row>
    <row r="544" spans="1:13">
      <c r="A544" t="s">
        <v>9</v>
      </c>
      <c r="B544" t="s">
        <v>164</v>
      </c>
      <c r="C544" t="s">
        <v>44</v>
      </c>
      <c r="D544" t="s">
        <v>29</v>
      </c>
      <c r="E544" s="3">
        <v>6.5</v>
      </c>
      <c r="F544" s="3">
        <v>6.37</v>
      </c>
      <c r="G544">
        <v>2.08</v>
      </c>
      <c r="H544" s="3">
        <v>13.52</v>
      </c>
      <c r="I544">
        <v>97</v>
      </c>
      <c r="J544">
        <v>1</v>
      </c>
      <c r="K544">
        <v>58</v>
      </c>
      <c r="L544" s="13">
        <f>(Table2[[#This Row],[STARTING INVENTORY]]-Table2[[#This Row],[ENDING INVENTORY]])/(Table2[[#This Row],[STARTING INVENTORY]])</f>
        <v>0.40206185567010311</v>
      </c>
      <c r="M544">
        <f>Table2[[#This Row],[STARTING INVENTORY]]-Table2[[#This Row],[ENDING INVENTORY]]</f>
        <v>39</v>
      </c>
    </row>
    <row r="545" spans="1:13">
      <c r="A545" t="s">
        <v>9</v>
      </c>
      <c r="B545" t="s">
        <v>164</v>
      </c>
      <c r="C545" t="s">
        <v>50</v>
      </c>
      <c r="D545" t="s">
        <v>29</v>
      </c>
      <c r="E545" s="3">
        <v>5.75</v>
      </c>
      <c r="F545" s="3">
        <v>5.6349999999999998</v>
      </c>
      <c r="G545">
        <v>1.98</v>
      </c>
      <c r="H545" s="3">
        <v>11.385</v>
      </c>
      <c r="I545">
        <v>87</v>
      </c>
      <c r="J545">
        <v>0</v>
      </c>
      <c r="K545">
        <v>14</v>
      </c>
      <c r="L545" s="13">
        <f>(Table2[[#This Row],[STARTING INVENTORY]]-Table2[[#This Row],[ENDING INVENTORY]])/(Table2[[#This Row],[STARTING INVENTORY]])</f>
        <v>0.83908045977011492</v>
      </c>
      <c r="M545">
        <f>Table2[[#This Row],[STARTING INVENTORY]]-Table2[[#This Row],[ENDING INVENTORY]]</f>
        <v>73</v>
      </c>
    </row>
    <row r="546" spans="1:13">
      <c r="A546" t="s">
        <v>9</v>
      </c>
      <c r="B546" t="s">
        <v>164</v>
      </c>
      <c r="C546" t="s">
        <v>56</v>
      </c>
      <c r="D546" t="s">
        <v>29</v>
      </c>
      <c r="E546" s="3">
        <v>5.5</v>
      </c>
      <c r="F546" s="3">
        <v>5.39</v>
      </c>
      <c r="G546">
        <v>2.0700000000000003</v>
      </c>
      <c r="H546" s="3">
        <v>11.385000000000002</v>
      </c>
      <c r="I546">
        <v>104</v>
      </c>
      <c r="J546">
        <v>1</v>
      </c>
      <c r="K546">
        <v>29</v>
      </c>
      <c r="L546" s="13">
        <f>(Table2[[#This Row],[STARTING INVENTORY]]-Table2[[#This Row],[ENDING INVENTORY]])/(Table2[[#This Row],[STARTING INVENTORY]])</f>
        <v>0.72115384615384615</v>
      </c>
      <c r="M546">
        <f>Table2[[#This Row],[STARTING INVENTORY]]-Table2[[#This Row],[ENDING INVENTORY]]</f>
        <v>75</v>
      </c>
    </row>
    <row r="547" spans="1:13">
      <c r="A547" t="s">
        <v>9</v>
      </c>
      <c r="B547" t="s">
        <v>164</v>
      </c>
      <c r="C547" t="s">
        <v>62</v>
      </c>
      <c r="D547" t="s">
        <v>29</v>
      </c>
      <c r="E547" s="3">
        <v>4.25</v>
      </c>
      <c r="F547" s="3">
        <v>4.165</v>
      </c>
      <c r="G547">
        <v>1.96</v>
      </c>
      <c r="H547" s="3">
        <v>8.33</v>
      </c>
      <c r="I547">
        <v>58</v>
      </c>
      <c r="J547">
        <v>0</v>
      </c>
      <c r="K547">
        <v>41</v>
      </c>
      <c r="L547" s="13">
        <f>(Table2[[#This Row],[STARTING INVENTORY]]-Table2[[#This Row],[ENDING INVENTORY]])/(Table2[[#This Row],[STARTING INVENTORY]])</f>
        <v>0.29310344827586204</v>
      </c>
      <c r="M547">
        <f>Table2[[#This Row],[STARTING INVENTORY]]-Table2[[#This Row],[ENDING INVENTORY]]</f>
        <v>17</v>
      </c>
    </row>
    <row r="548" spans="1:13">
      <c r="A548" t="s">
        <v>9</v>
      </c>
      <c r="B548" t="s">
        <v>164</v>
      </c>
      <c r="C548" t="s">
        <v>68</v>
      </c>
      <c r="D548" t="s">
        <v>29</v>
      </c>
      <c r="E548" s="3">
        <v>5.0999999999999996</v>
      </c>
      <c r="F548" s="3">
        <v>4.9979999999999993</v>
      </c>
      <c r="G548">
        <v>1.99</v>
      </c>
      <c r="H548" s="3">
        <v>10.148999999999999</v>
      </c>
      <c r="I548">
        <v>65</v>
      </c>
      <c r="J548">
        <v>1</v>
      </c>
      <c r="K548">
        <v>36</v>
      </c>
      <c r="L548" s="13">
        <f>(Table2[[#This Row],[STARTING INVENTORY]]-Table2[[#This Row],[ENDING INVENTORY]])/(Table2[[#This Row],[STARTING INVENTORY]])</f>
        <v>0.44615384615384618</v>
      </c>
      <c r="M548">
        <f>Table2[[#This Row],[STARTING INVENTORY]]-Table2[[#This Row],[ENDING INVENTORY]]</f>
        <v>29</v>
      </c>
    </row>
    <row r="549" spans="1:13">
      <c r="A549" t="s">
        <v>9</v>
      </c>
      <c r="B549" t="s">
        <v>164</v>
      </c>
      <c r="C549" t="s">
        <v>74</v>
      </c>
      <c r="D549" t="s">
        <v>29</v>
      </c>
      <c r="E549" s="3">
        <v>2.8</v>
      </c>
      <c r="F549" s="3">
        <v>2.7439999999999998</v>
      </c>
      <c r="G549">
        <v>1.96</v>
      </c>
      <c r="H549" s="3">
        <v>5.4879999999999995</v>
      </c>
      <c r="I549">
        <v>118</v>
      </c>
      <c r="J549">
        <v>2</v>
      </c>
      <c r="K549">
        <v>41</v>
      </c>
      <c r="L549" s="13">
        <f>(Table2[[#This Row],[STARTING INVENTORY]]-Table2[[#This Row],[ENDING INVENTORY]])/(Table2[[#This Row],[STARTING INVENTORY]])</f>
        <v>0.65254237288135597</v>
      </c>
      <c r="M549">
        <f>Table2[[#This Row],[STARTING INVENTORY]]-Table2[[#This Row],[ENDING INVENTORY]]</f>
        <v>77</v>
      </c>
    </row>
    <row r="550" spans="1:13">
      <c r="A550" t="s">
        <v>9</v>
      </c>
      <c r="B550" t="s">
        <v>164</v>
      </c>
      <c r="C550" t="s">
        <v>80</v>
      </c>
      <c r="D550" t="s">
        <v>29</v>
      </c>
      <c r="E550" s="3">
        <v>4</v>
      </c>
      <c r="F550" s="3">
        <v>3.92</v>
      </c>
      <c r="G550">
        <v>1.98</v>
      </c>
      <c r="H550" s="3">
        <v>7.92</v>
      </c>
      <c r="I550">
        <v>50</v>
      </c>
      <c r="J550">
        <v>2</v>
      </c>
      <c r="K550">
        <v>36</v>
      </c>
      <c r="L550" s="13">
        <f>(Table2[[#This Row],[STARTING INVENTORY]]-Table2[[#This Row],[ENDING INVENTORY]])/(Table2[[#This Row],[STARTING INVENTORY]])</f>
        <v>0.28000000000000003</v>
      </c>
      <c r="M550">
        <f>Table2[[#This Row],[STARTING INVENTORY]]-Table2[[#This Row],[ENDING INVENTORY]]</f>
        <v>14</v>
      </c>
    </row>
    <row r="551" spans="1:13">
      <c r="A551" t="s">
        <v>9</v>
      </c>
      <c r="B551" t="s">
        <v>164</v>
      </c>
      <c r="C551" t="s">
        <v>86</v>
      </c>
      <c r="D551" t="s">
        <v>29</v>
      </c>
      <c r="E551" s="3">
        <v>9</v>
      </c>
      <c r="F551" s="3">
        <v>8.82</v>
      </c>
      <c r="G551">
        <v>2</v>
      </c>
      <c r="H551" s="3">
        <v>18</v>
      </c>
      <c r="I551">
        <v>65</v>
      </c>
      <c r="J551">
        <v>3</v>
      </c>
      <c r="K551">
        <v>34</v>
      </c>
      <c r="L551" s="13">
        <f>(Table2[[#This Row],[STARTING INVENTORY]]-Table2[[#This Row],[ENDING INVENTORY]])/(Table2[[#This Row],[STARTING INVENTORY]])</f>
        <v>0.47692307692307695</v>
      </c>
      <c r="M551">
        <f>Table2[[#This Row],[STARTING INVENTORY]]-Table2[[#This Row],[ENDING INVENTORY]]</f>
        <v>31</v>
      </c>
    </row>
    <row r="552" spans="1:13">
      <c r="A552" t="s">
        <v>9</v>
      </c>
      <c r="B552" t="s">
        <v>164</v>
      </c>
      <c r="C552" t="s">
        <v>92</v>
      </c>
      <c r="D552" t="s">
        <v>29</v>
      </c>
      <c r="E552" s="3">
        <v>2.75</v>
      </c>
      <c r="F552" s="3">
        <v>2.6949999999999998</v>
      </c>
      <c r="G552">
        <v>2.09</v>
      </c>
      <c r="H552" s="3">
        <v>5.7474999999999996</v>
      </c>
      <c r="I552">
        <v>39</v>
      </c>
      <c r="J552">
        <v>0</v>
      </c>
      <c r="K552">
        <v>22</v>
      </c>
      <c r="L552" s="13">
        <f>(Table2[[#This Row],[STARTING INVENTORY]]-Table2[[#This Row],[ENDING INVENTORY]])/(Table2[[#This Row],[STARTING INVENTORY]])</f>
        <v>0.4358974358974359</v>
      </c>
      <c r="M552">
        <f>Table2[[#This Row],[STARTING INVENTORY]]-Table2[[#This Row],[ENDING INVENTORY]]</f>
        <v>17</v>
      </c>
    </row>
    <row r="553" spans="1:13">
      <c r="A553" t="s">
        <v>9</v>
      </c>
      <c r="B553" t="s">
        <v>164</v>
      </c>
      <c r="C553" t="s">
        <v>98</v>
      </c>
      <c r="D553" t="s">
        <v>29</v>
      </c>
      <c r="E553" s="3">
        <v>3.9</v>
      </c>
      <c r="F553" s="3">
        <v>3.8220000000000001</v>
      </c>
      <c r="G553">
        <v>2.0700000000000003</v>
      </c>
      <c r="H553" s="3">
        <v>8.0730000000000004</v>
      </c>
      <c r="I553">
        <v>102</v>
      </c>
      <c r="J553">
        <v>3</v>
      </c>
      <c r="K553">
        <v>5</v>
      </c>
      <c r="L553" s="13">
        <f>(Table2[[#This Row],[STARTING INVENTORY]]-Table2[[#This Row],[ENDING INVENTORY]])/(Table2[[#This Row],[STARTING INVENTORY]])</f>
        <v>0.9509803921568627</v>
      </c>
      <c r="M553">
        <f>Table2[[#This Row],[STARTING INVENTORY]]-Table2[[#This Row],[ENDING INVENTORY]]</f>
        <v>97</v>
      </c>
    </row>
    <row r="554" spans="1:13">
      <c r="A554" t="s">
        <v>9</v>
      </c>
      <c r="B554" t="s">
        <v>164</v>
      </c>
      <c r="C554" t="s">
        <v>104</v>
      </c>
      <c r="D554" t="s">
        <v>29</v>
      </c>
      <c r="E554" s="3">
        <v>4.3</v>
      </c>
      <c r="F554" s="3">
        <v>4.2139999999999995</v>
      </c>
      <c r="G554">
        <v>1.95</v>
      </c>
      <c r="H554" s="3">
        <v>8.3849999999999998</v>
      </c>
      <c r="I554">
        <v>53</v>
      </c>
      <c r="J554">
        <v>1</v>
      </c>
      <c r="K554">
        <v>3</v>
      </c>
      <c r="L554" s="13">
        <f>(Table2[[#This Row],[STARTING INVENTORY]]-Table2[[#This Row],[ENDING INVENTORY]])/(Table2[[#This Row],[STARTING INVENTORY]])</f>
        <v>0.94339622641509435</v>
      </c>
      <c r="M554">
        <f>Table2[[#This Row],[STARTING INVENTORY]]-Table2[[#This Row],[ENDING INVENTORY]]</f>
        <v>50</v>
      </c>
    </row>
    <row r="555" spans="1:13">
      <c r="A555" t="s">
        <v>9</v>
      </c>
      <c r="B555" t="s">
        <v>164</v>
      </c>
      <c r="C555" t="s">
        <v>110</v>
      </c>
      <c r="D555" t="s">
        <v>29</v>
      </c>
      <c r="E555" s="3">
        <v>4</v>
      </c>
      <c r="F555" s="3">
        <v>3.92</v>
      </c>
      <c r="G555">
        <v>2.04</v>
      </c>
      <c r="H555" s="3">
        <v>8.16</v>
      </c>
      <c r="I555">
        <v>93</v>
      </c>
      <c r="J555">
        <v>1</v>
      </c>
      <c r="K555">
        <v>17</v>
      </c>
      <c r="L555" s="13">
        <f>(Table2[[#This Row],[STARTING INVENTORY]]-Table2[[#This Row],[ENDING INVENTORY]])/(Table2[[#This Row],[STARTING INVENTORY]])</f>
        <v>0.81720430107526887</v>
      </c>
      <c r="M555">
        <f>Table2[[#This Row],[STARTING INVENTORY]]-Table2[[#This Row],[ENDING INVENTORY]]</f>
        <v>76</v>
      </c>
    </row>
    <row r="556" spans="1:13">
      <c r="A556" t="s">
        <v>9</v>
      </c>
      <c r="B556" t="s">
        <v>164</v>
      </c>
      <c r="C556" t="s">
        <v>116</v>
      </c>
      <c r="D556" t="s">
        <v>29</v>
      </c>
      <c r="E556" s="3">
        <v>4.75</v>
      </c>
      <c r="F556" s="3">
        <v>4.6550000000000002</v>
      </c>
      <c r="G556">
        <v>2.0499999999999998</v>
      </c>
      <c r="H556" s="3">
        <v>9.7374999999999989</v>
      </c>
      <c r="I556">
        <v>78</v>
      </c>
      <c r="J556">
        <v>6</v>
      </c>
      <c r="K556">
        <v>72</v>
      </c>
      <c r="L556" s="13">
        <f>(Table2[[#This Row],[STARTING INVENTORY]]-Table2[[#This Row],[ENDING INVENTORY]])/(Table2[[#This Row],[STARTING INVENTORY]])</f>
        <v>7.6923076923076927E-2</v>
      </c>
      <c r="M556">
        <f>Table2[[#This Row],[STARTING INVENTORY]]-Table2[[#This Row],[ENDING INVENTORY]]</f>
        <v>6</v>
      </c>
    </row>
    <row r="557" spans="1:13">
      <c r="A557" t="s">
        <v>9</v>
      </c>
      <c r="B557" t="s">
        <v>164</v>
      </c>
      <c r="C557" t="s">
        <v>122</v>
      </c>
      <c r="D557" t="s">
        <v>29</v>
      </c>
      <c r="E557" s="3">
        <v>2.25</v>
      </c>
      <c r="F557" s="3">
        <v>2.2050000000000001</v>
      </c>
      <c r="G557">
        <v>2.0300000000000002</v>
      </c>
      <c r="H557" s="3">
        <v>4.5675000000000008</v>
      </c>
      <c r="I557">
        <v>65</v>
      </c>
      <c r="J557">
        <v>0</v>
      </c>
      <c r="K557">
        <v>28</v>
      </c>
      <c r="L557" s="13">
        <f>(Table2[[#This Row],[STARTING INVENTORY]]-Table2[[#This Row],[ENDING INVENTORY]])/(Table2[[#This Row],[STARTING INVENTORY]])</f>
        <v>0.56923076923076921</v>
      </c>
      <c r="M557">
        <f>Table2[[#This Row],[STARTING INVENTORY]]-Table2[[#This Row],[ENDING INVENTORY]]</f>
        <v>37</v>
      </c>
    </row>
    <row r="558" spans="1:13">
      <c r="A558" t="s">
        <v>9</v>
      </c>
      <c r="B558" t="s">
        <v>164</v>
      </c>
      <c r="C558" t="s">
        <v>128</v>
      </c>
      <c r="D558" t="s">
        <v>29</v>
      </c>
      <c r="E558" s="3">
        <v>2.1</v>
      </c>
      <c r="F558" s="3">
        <v>2.0579999999999998</v>
      </c>
      <c r="G558">
        <v>2.04</v>
      </c>
      <c r="H558" s="3">
        <v>4.2840000000000007</v>
      </c>
      <c r="I558">
        <v>111</v>
      </c>
      <c r="J558">
        <v>2</v>
      </c>
      <c r="K558">
        <v>76</v>
      </c>
      <c r="L558" s="13">
        <f>(Table2[[#This Row],[STARTING INVENTORY]]-Table2[[#This Row],[ENDING INVENTORY]])/(Table2[[#This Row],[STARTING INVENTORY]])</f>
        <v>0.31531531531531531</v>
      </c>
      <c r="M558">
        <f>Table2[[#This Row],[STARTING INVENTORY]]-Table2[[#This Row],[ENDING INVENTORY]]</f>
        <v>35</v>
      </c>
    </row>
    <row r="559" spans="1:13">
      <c r="A559" t="s">
        <v>9</v>
      </c>
      <c r="B559" t="s">
        <v>164</v>
      </c>
      <c r="C559" t="s">
        <v>134</v>
      </c>
      <c r="D559" t="s">
        <v>29</v>
      </c>
      <c r="E559" s="3">
        <v>2</v>
      </c>
      <c r="F559" s="3">
        <v>1.96</v>
      </c>
      <c r="G559">
        <v>2.02</v>
      </c>
      <c r="H559" s="3">
        <v>4.04</v>
      </c>
      <c r="I559">
        <v>53</v>
      </c>
      <c r="J559">
        <v>2</v>
      </c>
      <c r="K559">
        <v>46</v>
      </c>
      <c r="L559" s="13">
        <f>(Table2[[#This Row],[STARTING INVENTORY]]-Table2[[#This Row],[ENDING INVENTORY]])/(Table2[[#This Row],[STARTING INVENTORY]])</f>
        <v>0.13207547169811321</v>
      </c>
      <c r="M559">
        <f>Table2[[#This Row],[STARTING INVENTORY]]-Table2[[#This Row],[ENDING INVENTORY]]</f>
        <v>7</v>
      </c>
    </row>
    <row r="560" spans="1:13">
      <c r="A560" t="s">
        <v>9</v>
      </c>
      <c r="B560" t="s">
        <v>164</v>
      </c>
      <c r="C560" t="s">
        <v>140</v>
      </c>
      <c r="D560" t="s">
        <v>33</v>
      </c>
      <c r="E560" s="3">
        <v>4.5</v>
      </c>
      <c r="F560" s="3">
        <v>4.41</v>
      </c>
      <c r="G560">
        <v>1.96</v>
      </c>
      <c r="H560" s="3">
        <v>8.82</v>
      </c>
      <c r="I560">
        <v>52</v>
      </c>
      <c r="J560">
        <v>1</v>
      </c>
      <c r="K560">
        <v>51</v>
      </c>
      <c r="L560" s="13">
        <f>(Table2[[#This Row],[STARTING INVENTORY]]-Table2[[#This Row],[ENDING INVENTORY]])/(Table2[[#This Row],[STARTING INVENTORY]])</f>
        <v>1.9230769230769232E-2</v>
      </c>
      <c r="M560">
        <f>Table2[[#This Row],[STARTING INVENTORY]]-Table2[[#This Row],[ENDING INVENTORY]]</f>
        <v>1</v>
      </c>
    </row>
    <row r="561" spans="1:13">
      <c r="A561" t="s">
        <v>9</v>
      </c>
      <c r="B561" t="s">
        <v>164</v>
      </c>
      <c r="C561" t="s">
        <v>146</v>
      </c>
      <c r="D561" t="s">
        <v>33</v>
      </c>
      <c r="E561" s="3">
        <v>3.75</v>
      </c>
      <c r="F561" s="3">
        <v>3.6749999999999998</v>
      </c>
      <c r="G561">
        <v>2.02</v>
      </c>
      <c r="H561" s="3">
        <v>7.5750000000000002</v>
      </c>
      <c r="I561">
        <v>91</v>
      </c>
      <c r="J561">
        <v>0</v>
      </c>
      <c r="K561">
        <v>16</v>
      </c>
      <c r="L561" s="13">
        <f>(Table2[[#This Row],[STARTING INVENTORY]]-Table2[[#This Row],[ENDING INVENTORY]])/(Table2[[#This Row],[STARTING INVENTORY]])</f>
        <v>0.82417582417582413</v>
      </c>
      <c r="M561">
        <f>Table2[[#This Row],[STARTING INVENTORY]]-Table2[[#This Row],[ENDING INVENTORY]]</f>
        <v>75</v>
      </c>
    </row>
    <row r="562" spans="1:13">
      <c r="A562" t="s">
        <v>9</v>
      </c>
      <c r="B562" t="s">
        <v>165</v>
      </c>
      <c r="C562" t="s">
        <v>35</v>
      </c>
      <c r="D562" t="s">
        <v>33</v>
      </c>
      <c r="E562" s="3">
        <v>2</v>
      </c>
      <c r="F562" s="3">
        <v>1.96</v>
      </c>
      <c r="G562">
        <v>1.95</v>
      </c>
      <c r="H562" s="3">
        <v>3.9</v>
      </c>
      <c r="I562">
        <v>155</v>
      </c>
      <c r="J562">
        <v>0</v>
      </c>
      <c r="K562">
        <v>108</v>
      </c>
      <c r="L562" s="13">
        <f>(Table2[[#This Row],[STARTING INVENTORY]]-Table2[[#This Row],[ENDING INVENTORY]])/(Table2[[#This Row],[STARTING INVENTORY]])</f>
        <v>0.3032258064516129</v>
      </c>
      <c r="M562">
        <f>Table2[[#This Row],[STARTING INVENTORY]]-Table2[[#This Row],[ENDING INVENTORY]]</f>
        <v>47</v>
      </c>
    </row>
    <row r="563" spans="1:13">
      <c r="A563" t="s">
        <v>9</v>
      </c>
      <c r="B563" t="s">
        <v>165</v>
      </c>
      <c r="C563" t="s">
        <v>41</v>
      </c>
      <c r="D563" t="s">
        <v>33</v>
      </c>
      <c r="E563" s="3">
        <v>1.95</v>
      </c>
      <c r="F563" s="3">
        <v>1.911</v>
      </c>
      <c r="G563">
        <v>2.08</v>
      </c>
      <c r="H563" s="3">
        <v>4.056</v>
      </c>
      <c r="I563">
        <v>96</v>
      </c>
      <c r="J563">
        <v>6</v>
      </c>
      <c r="K563">
        <v>21</v>
      </c>
      <c r="L563" s="13">
        <f>(Table2[[#This Row],[STARTING INVENTORY]]-Table2[[#This Row],[ENDING INVENTORY]])/(Table2[[#This Row],[STARTING INVENTORY]])</f>
        <v>0.78125</v>
      </c>
      <c r="M563">
        <f>Table2[[#This Row],[STARTING INVENTORY]]-Table2[[#This Row],[ENDING INVENTORY]]</f>
        <v>75</v>
      </c>
    </row>
    <row r="564" spans="1:13">
      <c r="A564" t="s">
        <v>9</v>
      </c>
      <c r="B564" t="s">
        <v>165</v>
      </c>
      <c r="C564" t="s">
        <v>47</v>
      </c>
      <c r="D564" t="s">
        <v>33</v>
      </c>
      <c r="E564" s="3">
        <v>1.9</v>
      </c>
      <c r="F564" s="3">
        <v>1.8619999999999999</v>
      </c>
      <c r="G564">
        <v>2.0300000000000002</v>
      </c>
      <c r="H564" s="3">
        <v>3.8570000000000002</v>
      </c>
      <c r="I564">
        <v>71</v>
      </c>
      <c r="J564">
        <v>1</v>
      </c>
      <c r="K564">
        <v>67</v>
      </c>
      <c r="L564" s="13">
        <f>(Table2[[#This Row],[STARTING INVENTORY]]-Table2[[#This Row],[ENDING INVENTORY]])/(Table2[[#This Row],[STARTING INVENTORY]])</f>
        <v>5.6338028169014086E-2</v>
      </c>
      <c r="M564">
        <f>Table2[[#This Row],[STARTING INVENTORY]]-Table2[[#This Row],[ENDING INVENTORY]]</f>
        <v>4</v>
      </c>
    </row>
    <row r="565" spans="1:13">
      <c r="A565" t="s">
        <v>9</v>
      </c>
      <c r="B565" t="s">
        <v>165</v>
      </c>
      <c r="C565" t="s">
        <v>53</v>
      </c>
      <c r="D565" t="s">
        <v>33</v>
      </c>
      <c r="E565" s="3">
        <v>3.1</v>
      </c>
      <c r="F565" s="3">
        <v>3.0379999999999998</v>
      </c>
      <c r="G565">
        <v>1.99</v>
      </c>
      <c r="H565" s="3">
        <v>6.1690000000000005</v>
      </c>
      <c r="I565">
        <v>172</v>
      </c>
      <c r="J565">
        <v>1</v>
      </c>
      <c r="K565">
        <v>68</v>
      </c>
      <c r="L565" s="13">
        <f>(Table2[[#This Row],[STARTING INVENTORY]]-Table2[[#This Row],[ENDING INVENTORY]])/(Table2[[#This Row],[STARTING INVENTORY]])</f>
        <v>0.60465116279069764</v>
      </c>
      <c r="M565">
        <f>Table2[[#This Row],[STARTING INVENTORY]]-Table2[[#This Row],[ENDING INVENTORY]]</f>
        <v>104</v>
      </c>
    </row>
    <row r="566" spans="1:13">
      <c r="A566" t="s">
        <v>9</v>
      </c>
      <c r="B566" t="s">
        <v>165</v>
      </c>
      <c r="C566" t="s">
        <v>59</v>
      </c>
      <c r="D566" t="s">
        <v>33</v>
      </c>
      <c r="E566" s="3">
        <v>2</v>
      </c>
      <c r="F566" s="3">
        <v>1.96</v>
      </c>
      <c r="G566">
        <v>2.0700000000000003</v>
      </c>
      <c r="H566" s="3">
        <v>4.1400000000000006</v>
      </c>
      <c r="I566">
        <v>114</v>
      </c>
      <c r="J566">
        <v>1</v>
      </c>
      <c r="K566">
        <v>36</v>
      </c>
      <c r="L566" s="13">
        <f>(Table2[[#This Row],[STARTING INVENTORY]]-Table2[[#This Row],[ENDING INVENTORY]])/(Table2[[#This Row],[STARTING INVENTORY]])</f>
        <v>0.68421052631578949</v>
      </c>
      <c r="M566">
        <f>Table2[[#This Row],[STARTING INVENTORY]]-Table2[[#This Row],[ENDING INVENTORY]]</f>
        <v>78</v>
      </c>
    </row>
    <row r="567" spans="1:13">
      <c r="A567" t="s">
        <v>9</v>
      </c>
      <c r="B567" t="s">
        <v>165</v>
      </c>
      <c r="C567" t="s">
        <v>65</v>
      </c>
      <c r="D567" t="s">
        <v>33</v>
      </c>
      <c r="E567" s="3">
        <v>1.7</v>
      </c>
      <c r="F567" s="3">
        <v>1.6659999999999999</v>
      </c>
      <c r="G567">
        <v>1.97</v>
      </c>
      <c r="H567" s="3">
        <v>3.3489999999999998</v>
      </c>
      <c r="I567">
        <v>72</v>
      </c>
      <c r="J567">
        <v>3</v>
      </c>
      <c r="K567">
        <v>48</v>
      </c>
      <c r="L567" s="13">
        <f>(Table2[[#This Row],[STARTING INVENTORY]]-Table2[[#This Row],[ENDING INVENTORY]])/(Table2[[#This Row],[STARTING INVENTORY]])</f>
        <v>0.33333333333333331</v>
      </c>
      <c r="M567">
        <f>Table2[[#This Row],[STARTING INVENTORY]]-Table2[[#This Row],[ENDING INVENTORY]]</f>
        <v>24</v>
      </c>
    </row>
    <row r="568" spans="1:13">
      <c r="A568" t="s">
        <v>9</v>
      </c>
      <c r="B568" t="s">
        <v>165</v>
      </c>
      <c r="C568" t="s">
        <v>71</v>
      </c>
      <c r="D568" t="s">
        <v>33</v>
      </c>
      <c r="E568" s="3">
        <v>1.5</v>
      </c>
      <c r="F568" s="3">
        <v>1.47</v>
      </c>
      <c r="G568">
        <v>2.06</v>
      </c>
      <c r="H568" s="3">
        <v>3.09</v>
      </c>
      <c r="I568">
        <v>82</v>
      </c>
      <c r="J568">
        <v>0</v>
      </c>
      <c r="K568">
        <v>12</v>
      </c>
      <c r="L568" s="13">
        <f>(Table2[[#This Row],[STARTING INVENTORY]]-Table2[[#This Row],[ENDING INVENTORY]])/(Table2[[#This Row],[STARTING INVENTORY]])</f>
        <v>0.85365853658536583</v>
      </c>
      <c r="M568">
        <f>Table2[[#This Row],[STARTING INVENTORY]]-Table2[[#This Row],[ENDING INVENTORY]]</f>
        <v>70</v>
      </c>
    </row>
    <row r="569" spans="1:13">
      <c r="A569" t="s">
        <v>9</v>
      </c>
      <c r="B569" t="s">
        <v>165</v>
      </c>
      <c r="C569" t="s">
        <v>77</v>
      </c>
      <c r="D569" t="s">
        <v>33</v>
      </c>
      <c r="E569" s="3">
        <v>2.65</v>
      </c>
      <c r="F569" s="3">
        <v>2.597</v>
      </c>
      <c r="G569">
        <v>1.95</v>
      </c>
      <c r="H569" s="3">
        <v>5.1674999999999995</v>
      </c>
      <c r="I569">
        <v>148</v>
      </c>
      <c r="J569">
        <v>1</v>
      </c>
      <c r="K569">
        <v>108</v>
      </c>
      <c r="L569" s="13">
        <f>(Table2[[#This Row],[STARTING INVENTORY]]-Table2[[#This Row],[ENDING INVENTORY]])/(Table2[[#This Row],[STARTING INVENTORY]])</f>
        <v>0.27027027027027029</v>
      </c>
      <c r="M569">
        <f>Table2[[#This Row],[STARTING INVENTORY]]-Table2[[#This Row],[ENDING INVENTORY]]</f>
        <v>40</v>
      </c>
    </row>
    <row r="570" spans="1:13">
      <c r="A570" t="s">
        <v>9</v>
      </c>
      <c r="B570" t="s">
        <v>165</v>
      </c>
      <c r="C570" t="s">
        <v>83</v>
      </c>
      <c r="D570" t="s">
        <v>33</v>
      </c>
      <c r="E570" s="3">
        <v>1.2</v>
      </c>
      <c r="F570" s="3">
        <v>1.1759999999999999</v>
      </c>
      <c r="G570">
        <v>2.08</v>
      </c>
      <c r="H570" s="3">
        <v>2.496</v>
      </c>
      <c r="I570">
        <v>158</v>
      </c>
      <c r="J570">
        <v>2</v>
      </c>
      <c r="K570">
        <v>85</v>
      </c>
      <c r="L570" s="13">
        <f>(Table2[[#This Row],[STARTING INVENTORY]]-Table2[[#This Row],[ENDING INVENTORY]])/(Table2[[#This Row],[STARTING INVENTORY]])</f>
        <v>0.46202531645569622</v>
      </c>
      <c r="M570">
        <f>Table2[[#This Row],[STARTING INVENTORY]]-Table2[[#This Row],[ENDING INVENTORY]]</f>
        <v>73</v>
      </c>
    </row>
    <row r="571" spans="1:13">
      <c r="A571" t="s">
        <v>9</v>
      </c>
      <c r="B571" t="s">
        <v>165</v>
      </c>
      <c r="C571" t="s">
        <v>89</v>
      </c>
      <c r="D571" t="s">
        <v>33</v>
      </c>
      <c r="E571" s="3">
        <v>1.4</v>
      </c>
      <c r="F571" s="3">
        <v>1.3719999999999999</v>
      </c>
      <c r="G571">
        <v>2.04</v>
      </c>
      <c r="H571" s="3">
        <v>2.8559999999999999</v>
      </c>
      <c r="I571">
        <v>164</v>
      </c>
      <c r="J571">
        <v>8</v>
      </c>
      <c r="K571">
        <v>52</v>
      </c>
      <c r="L571" s="13">
        <f>(Table2[[#This Row],[STARTING INVENTORY]]-Table2[[#This Row],[ENDING INVENTORY]])/(Table2[[#This Row],[STARTING INVENTORY]])</f>
        <v>0.68292682926829273</v>
      </c>
      <c r="M571">
        <f>Table2[[#This Row],[STARTING INVENTORY]]-Table2[[#This Row],[ENDING INVENTORY]]</f>
        <v>112</v>
      </c>
    </row>
    <row r="572" spans="1:13">
      <c r="A572" t="s">
        <v>9</v>
      </c>
      <c r="B572" t="s">
        <v>165</v>
      </c>
      <c r="C572" t="s">
        <v>95</v>
      </c>
      <c r="D572" t="s">
        <v>33</v>
      </c>
      <c r="E572" s="3">
        <v>1.6</v>
      </c>
      <c r="F572" s="3">
        <v>1.5680000000000001</v>
      </c>
      <c r="G572">
        <v>2.1</v>
      </c>
      <c r="H572" s="3">
        <v>3.3600000000000003</v>
      </c>
      <c r="I572">
        <v>89</v>
      </c>
      <c r="J572">
        <v>1</v>
      </c>
      <c r="K572">
        <v>86</v>
      </c>
      <c r="L572" s="13">
        <f>(Table2[[#This Row],[STARTING INVENTORY]]-Table2[[#This Row],[ENDING INVENTORY]])/(Table2[[#This Row],[STARTING INVENTORY]])</f>
        <v>3.3707865168539325E-2</v>
      </c>
      <c r="M572">
        <f>Table2[[#This Row],[STARTING INVENTORY]]-Table2[[#This Row],[ENDING INVENTORY]]</f>
        <v>3</v>
      </c>
    </row>
    <row r="573" spans="1:13">
      <c r="A573" t="s">
        <v>9</v>
      </c>
      <c r="B573" t="s">
        <v>165</v>
      </c>
      <c r="C573" t="s">
        <v>101</v>
      </c>
      <c r="D573" t="s">
        <v>33</v>
      </c>
      <c r="E573" s="3">
        <v>0.7</v>
      </c>
      <c r="F573" s="3">
        <v>0.68599999999999994</v>
      </c>
      <c r="G573">
        <v>2.04</v>
      </c>
      <c r="H573" s="3">
        <v>1.4279999999999999</v>
      </c>
      <c r="I573">
        <v>76</v>
      </c>
      <c r="J573">
        <v>1</v>
      </c>
      <c r="K573">
        <v>50</v>
      </c>
      <c r="L573" s="13">
        <f>(Table2[[#This Row],[STARTING INVENTORY]]-Table2[[#This Row],[ENDING INVENTORY]])/(Table2[[#This Row],[STARTING INVENTORY]])</f>
        <v>0.34210526315789475</v>
      </c>
      <c r="M573">
        <f>Table2[[#This Row],[STARTING INVENTORY]]-Table2[[#This Row],[ENDING INVENTORY]]</f>
        <v>26</v>
      </c>
    </row>
    <row r="574" spans="1:13">
      <c r="A574" t="s">
        <v>9</v>
      </c>
      <c r="B574" t="s">
        <v>165</v>
      </c>
      <c r="C574" t="s">
        <v>107</v>
      </c>
      <c r="D574" t="s">
        <v>33</v>
      </c>
      <c r="E574" s="3">
        <v>0.55000000000000004</v>
      </c>
      <c r="F574" s="3">
        <v>0.53900000000000003</v>
      </c>
      <c r="G574">
        <v>1.96</v>
      </c>
      <c r="H574" s="3">
        <v>1.0780000000000001</v>
      </c>
      <c r="I574">
        <v>172</v>
      </c>
      <c r="J574">
        <v>1</v>
      </c>
      <c r="K574">
        <v>130</v>
      </c>
      <c r="L574" s="13">
        <f>(Table2[[#This Row],[STARTING INVENTORY]]-Table2[[#This Row],[ENDING INVENTORY]])/(Table2[[#This Row],[STARTING INVENTORY]])</f>
        <v>0.2441860465116279</v>
      </c>
      <c r="M574">
        <f>Table2[[#This Row],[STARTING INVENTORY]]-Table2[[#This Row],[ENDING INVENTORY]]</f>
        <v>42</v>
      </c>
    </row>
    <row r="575" spans="1:13">
      <c r="A575" t="s">
        <v>9</v>
      </c>
      <c r="B575" t="s">
        <v>165</v>
      </c>
      <c r="C575" t="s">
        <v>113</v>
      </c>
      <c r="D575" t="s">
        <v>33</v>
      </c>
      <c r="E575" s="3">
        <v>1.4</v>
      </c>
      <c r="F575" s="3">
        <v>1.3719999999999999</v>
      </c>
      <c r="G575">
        <v>2.08</v>
      </c>
      <c r="H575" s="3">
        <v>2.9119999999999999</v>
      </c>
      <c r="I575">
        <v>121</v>
      </c>
      <c r="J575">
        <v>3</v>
      </c>
      <c r="K575">
        <v>41</v>
      </c>
      <c r="L575" s="13">
        <f>(Table2[[#This Row],[STARTING INVENTORY]]-Table2[[#This Row],[ENDING INVENTORY]])/(Table2[[#This Row],[STARTING INVENTORY]])</f>
        <v>0.66115702479338845</v>
      </c>
      <c r="M575">
        <f>Table2[[#This Row],[STARTING INVENTORY]]-Table2[[#This Row],[ENDING INVENTORY]]</f>
        <v>80</v>
      </c>
    </row>
    <row r="576" spans="1:13">
      <c r="A576" t="s">
        <v>9</v>
      </c>
      <c r="B576" t="s">
        <v>165</v>
      </c>
      <c r="C576" t="s">
        <v>119</v>
      </c>
      <c r="D576" t="s">
        <v>33</v>
      </c>
      <c r="E576" s="3">
        <v>2</v>
      </c>
      <c r="F576" s="3">
        <v>1.96</v>
      </c>
      <c r="G576">
        <v>2</v>
      </c>
      <c r="H576" s="3">
        <v>4</v>
      </c>
      <c r="I576">
        <v>143</v>
      </c>
      <c r="J576">
        <v>1</v>
      </c>
      <c r="K576">
        <v>97</v>
      </c>
      <c r="L576" s="13">
        <f>(Table2[[#This Row],[STARTING INVENTORY]]-Table2[[#This Row],[ENDING INVENTORY]])/(Table2[[#This Row],[STARTING INVENTORY]])</f>
        <v>0.32167832167832167</v>
      </c>
      <c r="M576">
        <f>Table2[[#This Row],[STARTING INVENTORY]]-Table2[[#This Row],[ENDING INVENTORY]]</f>
        <v>46</v>
      </c>
    </row>
    <row r="577" spans="1:13">
      <c r="A577" t="s">
        <v>9</v>
      </c>
      <c r="B577" t="s">
        <v>165</v>
      </c>
      <c r="C577" t="s">
        <v>125</v>
      </c>
      <c r="D577" t="s">
        <v>33</v>
      </c>
      <c r="E577" s="3">
        <v>2.25</v>
      </c>
      <c r="F577" s="3">
        <v>2.2050000000000001</v>
      </c>
      <c r="G577">
        <v>2.0499999999999998</v>
      </c>
      <c r="H577" s="3">
        <v>4.6124999999999998</v>
      </c>
      <c r="I577">
        <v>171</v>
      </c>
      <c r="J577">
        <v>2</v>
      </c>
      <c r="K577">
        <v>159</v>
      </c>
      <c r="L577" s="13">
        <f>(Table2[[#This Row],[STARTING INVENTORY]]-Table2[[#This Row],[ENDING INVENTORY]])/(Table2[[#This Row],[STARTING INVENTORY]])</f>
        <v>7.0175438596491224E-2</v>
      </c>
      <c r="M577">
        <f>Table2[[#This Row],[STARTING INVENTORY]]-Table2[[#This Row],[ENDING INVENTORY]]</f>
        <v>12</v>
      </c>
    </row>
    <row r="578" spans="1:13">
      <c r="A578" t="s">
        <v>9</v>
      </c>
      <c r="B578" t="s">
        <v>165</v>
      </c>
      <c r="C578" t="s">
        <v>131</v>
      </c>
      <c r="D578" t="s">
        <v>33</v>
      </c>
      <c r="E578" s="3">
        <v>3.4</v>
      </c>
      <c r="F578" s="3">
        <v>3.3319999999999999</v>
      </c>
      <c r="G578">
        <v>2</v>
      </c>
      <c r="H578" s="3">
        <v>6.8</v>
      </c>
      <c r="I578">
        <v>148</v>
      </c>
      <c r="J578">
        <v>5</v>
      </c>
      <c r="K578">
        <v>108</v>
      </c>
      <c r="L578" s="13">
        <f>(Table2[[#This Row],[STARTING INVENTORY]]-Table2[[#This Row],[ENDING INVENTORY]])/(Table2[[#This Row],[STARTING INVENTORY]])</f>
        <v>0.27027027027027029</v>
      </c>
      <c r="M578">
        <f>Table2[[#This Row],[STARTING INVENTORY]]-Table2[[#This Row],[ENDING INVENTORY]]</f>
        <v>40</v>
      </c>
    </row>
    <row r="579" spans="1:13">
      <c r="A579" t="s">
        <v>9</v>
      </c>
      <c r="B579" t="s">
        <v>165</v>
      </c>
      <c r="C579" t="s">
        <v>137</v>
      </c>
      <c r="D579" t="s">
        <v>33</v>
      </c>
      <c r="E579" s="3">
        <v>3.1</v>
      </c>
      <c r="F579" s="3">
        <v>3.0379999999999998</v>
      </c>
      <c r="G579">
        <v>2.06</v>
      </c>
      <c r="H579" s="3">
        <v>6.3860000000000001</v>
      </c>
      <c r="I579">
        <v>145</v>
      </c>
      <c r="J579">
        <v>4</v>
      </c>
      <c r="K579">
        <v>50</v>
      </c>
      <c r="L579" s="13">
        <f>(Table2[[#This Row],[STARTING INVENTORY]]-Table2[[#This Row],[ENDING INVENTORY]])/(Table2[[#This Row],[STARTING INVENTORY]])</f>
        <v>0.65517241379310343</v>
      </c>
      <c r="M579">
        <f>Table2[[#This Row],[STARTING INVENTORY]]-Table2[[#This Row],[ENDING INVENTORY]]</f>
        <v>95</v>
      </c>
    </row>
    <row r="580" spans="1:13">
      <c r="A580" t="s">
        <v>9</v>
      </c>
      <c r="B580" t="s">
        <v>165</v>
      </c>
      <c r="C580" t="s">
        <v>143</v>
      </c>
      <c r="D580" t="s">
        <v>33</v>
      </c>
      <c r="E580" s="3">
        <v>1.5</v>
      </c>
      <c r="F580" s="3">
        <v>1.47</v>
      </c>
      <c r="G580">
        <v>2.09</v>
      </c>
      <c r="H580" s="3">
        <v>3.1349999999999998</v>
      </c>
      <c r="I580">
        <v>72</v>
      </c>
      <c r="J580">
        <v>1</v>
      </c>
      <c r="K580">
        <v>45</v>
      </c>
      <c r="L580" s="13">
        <f>(Table2[[#This Row],[STARTING INVENTORY]]-Table2[[#This Row],[ENDING INVENTORY]])/(Table2[[#This Row],[STARTING INVENTORY]])</f>
        <v>0.375</v>
      </c>
      <c r="M580">
        <f>Table2[[#This Row],[STARTING INVENTORY]]-Table2[[#This Row],[ENDING INVENTORY]]</f>
        <v>27</v>
      </c>
    </row>
    <row r="581" spans="1:13">
      <c r="A581" t="s">
        <v>9</v>
      </c>
      <c r="B581" t="s">
        <v>165</v>
      </c>
      <c r="C581" t="s">
        <v>149</v>
      </c>
      <c r="D581" t="s">
        <v>33</v>
      </c>
      <c r="E581" s="3">
        <v>1.9</v>
      </c>
      <c r="F581" s="3">
        <v>1.8619999999999999</v>
      </c>
      <c r="G581">
        <v>2.04</v>
      </c>
      <c r="H581" s="3">
        <v>3.8759999999999999</v>
      </c>
      <c r="I581">
        <v>118</v>
      </c>
      <c r="J581">
        <v>6</v>
      </c>
      <c r="K581">
        <v>107</v>
      </c>
      <c r="L581" s="13">
        <f>(Table2[[#This Row],[STARTING INVENTORY]]-Table2[[#This Row],[ENDING INVENTORY]])/(Table2[[#This Row],[STARTING INVENTORY]])</f>
        <v>9.3220338983050849E-2</v>
      </c>
      <c r="M581">
        <f>Table2[[#This Row],[STARTING INVENTORY]]-Table2[[#This Row],[ENDING INVENTORY]]</f>
        <v>11</v>
      </c>
    </row>
    <row r="582" spans="1:13">
      <c r="A582" t="s">
        <v>9</v>
      </c>
      <c r="B582" t="s">
        <v>166</v>
      </c>
      <c r="C582" t="s">
        <v>34</v>
      </c>
      <c r="D582" t="s">
        <v>33</v>
      </c>
      <c r="E582" s="3">
        <v>1.3</v>
      </c>
      <c r="F582" s="3">
        <v>1.274</v>
      </c>
      <c r="G582">
        <v>2.08</v>
      </c>
      <c r="H582" s="3">
        <v>2.7040000000000002</v>
      </c>
      <c r="I582">
        <v>58</v>
      </c>
      <c r="J582">
        <v>2</v>
      </c>
      <c r="K582">
        <v>20</v>
      </c>
      <c r="L582" s="13">
        <f>(Table2[[#This Row],[STARTING INVENTORY]]-Table2[[#This Row],[ENDING INVENTORY]])/(Table2[[#This Row],[STARTING INVENTORY]])</f>
        <v>0.65517241379310343</v>
      </c>
      <c r="M582">
        <f>Table2[[#This Row],[STARTING INVENTORY]]-Table2[[#This Row],[ENDING INVENTORY]]</f>
        <v>38</v>
      </c>
    </row>
    <row r="583" spans="1:13">
      <c r="A583" t="s">
        <v>9</v>
      </c>
      <c r="B583" t="s">
        <v>166</v>
      </c>
      <c r="C583" t="s">
        <v>40</v>
      </c>
      <c r="D583" t="s">
        <v>33</v>
      </c>
      <c r="E583" s="3">
        <v>1.6</v>
      </c>
      <c r="F583" s="3">
        <v>1.5680000000000001</v>
      </c>
      <c r="G583">
        <v>2.04</v>
      </c>
      <c r="H583" s="3">
        <v>3.2640000000000002</v>
      </c>
      <c r="I583">
        <v>88</v>
      </c>
      <c r="J583">
        <v>2</v>
      </c>
      <c r="K583">
        <v>43</v>
      </c>
      <c r="L583" s="13">
        <f>(Table2[[#This Row],[STARTING INVENTORY]]-Table2[[#This Row],[ENDING INVENTORY]])/(Table2[[#This Row],[STARTING INVENTORY]])</f>
        <v>0.51136363636363635</v>
      </c>
      <c r="M583">
        <f>Table2[[#This Row],[STARTING INVENTORY]]-Table2[[#This Row],[ENDING INVENTORY]]</f>
        <v>45</v>
      </c>
    </row>
    <row r="584" spans="1:13">
      <c r="A584" t="s">
        <v>9</v>
      </c>
      <c r="B584" t="s">
        <v>166</v>
      </c>
      <c r="C584" t="s">
        <v>46</v>
      </c>
      <c r="D584" t="s">
        <v>33</v>
      </c>
      <c r="E584" s="3">
        <v>1.35</v>
      </c>
      <c r="F584" s="3">
        <v>1.323</v>
      </c>
      <c r="G584">
        <v>1.98</v>
      </c>
      <c r="H584" s="3">
        <v>2.673</v>
      </c>
      <c r="I584">
        <v>139</v>
      </c>
      <c r="J584">
        <v>0</v>
      </c>
      <c r="K584">
        <v>138</v>
      </c>
      <c r="L584" s="13">
        <f>(Table2[[#This Row],[STARTING INVENTORY]]-Table2[[#This Row],[ENDING INVENTORY]])/(Table2[[#This Row],[STARTING INVENTORY]])</f>
        <v>7.1942446043165471E-3</v>
      </c>
      <c r="M584">
        <f>Table2[[#This Row],[STARTING INVENTORY]]-Table2[[#This Row],[ENDING INVENTORY]]</f>
        <v>1</v>
      </c>
    </row>
    <row r="585" spans="1:13">
      <c r="A585" t="s">
        <v>9</v>
      </c>
      <c r="B585" t="s">
        <v>166</v>
      </c>
      <c r="C585" t="s">
        <v>52</v>
      </c>
      <c r="D585" t="s">
        <v>33</v>
      </c>
      <c r="E585" s="3">
        <v>1.6</v>
      </c>
      <c r="F585" s="3">
        <v>1.5680000000000001</v>
      </c>
      <c r="G585">
        <v>2.06</v>
      </c>
      <c r="H585" s="3">
        <v>3.2960000000000003</v>
      </c>
      <c r="I585">
        <v>51</v>
      </c>
      <c r="J585">
        <v>9</v>
      </c>
      <c r="K585">
        <v>38</v>
      </c>
      <c r="L585" s="13">
        <f>(Table2[[#This Row],[STARTING INVENTORY]]-Table2[[#This Row],[ENDING INVENTORY]])/(Table2[[#This Row],[STARTING INVENTORY]])</f>
        <v>0.25490196078431371</v>
      </c>
      <c r="M585">
        <f>Table2[[#This Row],[STARTING INVENTORY]]-Table2[[#This Row],[ENDING INVENTORY]]</f>
        <v>13</v>
      </c>
    </row>
    <row r="586" spans="1:13">
      <c r="A586" t="s">
        <v>9</v>
      </c>
      <c r="B586" t="s">
        <v>166</v>
      </c>
      <c r="C586" t="s">
        <v>58</v>
      </c>
      <c r="D586" t="s">
        <v>33</v>
      </c>
      <c r="E586" s="3">
        <v>2.1</v>
      </c>
      <c r="F586" s="3">
        <v>2.0579999999999998</v>
      </c>
      <c r="G586">
        <v>1.98</v>
      </c>
      <c r="H586" s="3">
        <v>4.1580000000000004</v>
      </c>
      <c r="I586">
        <v>100</v>
      </c>
      <c r="J586">
        <v>0</v>
      </c>
      <c r="K586">
        <v>67</v>
      </c>
      <c r="L586" s="13">
        <f>(Table2[[#This Row],[STARTING INVENTORY]]-Table2[[#This Row],[ENDING INVENTORY]])/(Table2[[#This Row],[STARTING INVENTORY]])</f>
        <v>0.33</v>
      </c>
      <c r="M586">
        <f>Table2[[#This Row],[STARTING INVENTORY]]-Table2[[#This Row],[ENDING INVENTORY]]</f>
        <v>33</v>
      </c>
    </row>
    <row r="587" spans="1:13">
      <c r="A587" t="s">
        <v>9</v>
      </c>
      <c r="B587" t="s">
        <v>166</v>
      </c>
      <c r="C587" t="s">
        <v>64</v>
      </c>
      <c r="D587" t="s">
        <v>33</v>
      </c>
      <c r="E587" s="3">
        <v>1.85</v>
      </c>
      <c r="F587" s="3">
        <v>1.8129999999999999</v>
      </c>
      <c r="G587">
        <v>2.0099999999999998</v>
      </c>
      <c r="H587" s="3">
        <v>3.7184999999999997</v>
      </c>
      <c r="I587">
        <v>144</v>
      </c>
      <c r="J587">
        <v>0</v>
      </c>
      <c r="K587">
        <v>128</v>
      </c>
      <c r="L587" s="13">
        <f>(Table2[[#This Row],[STARTING INVENTORY]]-Table2[[#This Row],[ENDING INVENTORY]])/(Table2[[#This Row],[STARTING INVENTORY]])</f>
        <v>0.1111111111111111</v>
      </c>
      <c r="M587">
        <f>Table2[[#This Row],[STARTING INVENTORY]]-Table2[[#This Row],[ENDING INVENTORY]]</f>
        <v>16</v>
      </c>
    </row>
    <row r="588" spans="1:13">
      <c r="A588" t="s">
        <v>9</v>
      </c>
      <c r="B588" t="s">
        <v>166</v>
      </c>
      <c r="C588" t="s">
        <v>70</v>
      </c>
      <c r="D588" t="s">
        <v>33</v>
      </c>
      <c r="E588" s="3">
        <v>1.55</v>
      </c>
      <c r="F588" s="3">
        <v>1.5189999999999999</v>
      </c>
      <c r="G588">
        <v>1.98</v>
      </c>
      <c r="H588" s="3">
        <v>3.069</v>
      </c>
      <c r="I588">
        <v>58</v>
      </c>
      <c r="J588">
        <v>0</v>
      </c>
      <c r="K588">
        <v>27</v>
      </c>
      <c r="L588" s="13">
        <f>(Table2[[#This Row],[STARTING INVENTORY]]-Table2[[#This Row],[ENDING INVENTORY]])/(Table2[[#This Row],[STARTING INVENTORY]])</f>
        <v>0.53448275862068961</v>
      </c>
      <c r="M588">
        <f>Table2[[#This Row],[STARTING INVENTORY]]-Table2[[#This Row],[ENDING INVENTORY]]</f>
        <v>31</v>
      </c>
    </row>
    <row r="589" spans="1:13">
      <c r="A589" t="s">
        <v>9</v>
      </c>
      <c r="B589" t="s">
        <v>166</v>
      </c>
      <c r="C589" t="s">
        <v>76</v>
      </c>
      <c r="D589" t="s">
        <v>33</v>
      </c>
      <c r="E589" s="3">
        <v>1.55</v>
      </c>
      <c r="F589" s="3">
        <v>1.5189999999999999</v>
      </c>
      <c r="G589">
        <v>2.0099999999999998</v>
      </c>
      <c r="H589" s="3">
        <v>3.1154999999999999</v>
      </c>
      <c r="I589">
        <v>115</v>
      </c>
      <c r="J589">
        <v>3</v>
      </c>
      <c r="K589">
        <v>62</v>
      </c>
      <c r="L589" s="13">
        <f>(Table2[[#This Row],[STARTING INVENTORY]]-Table2[[#This Row],[ENDING INVENTORY]])/(Table2[[#This Row],[STARTING INVENTORY]])</f>
        <v>0.46086956521739131</v>
      </c>
      <c r="M589">
        <f>Table2[[#This Row],[STARTING INVENTORY]]-Table2[[#This Row],[ENDING INVENTORY]]</f>
        <v>53</v>
      </c>
    </row>
    <row r="590" spans="1:13">
      <c r="A590" t="s">
        <v>9</v>
      </c>
      <c r="B590" t="s">
        <v>166</v>
      </c>
      <c r="C590" t="s">
        <v>82</v>
      </c>
      <c r="D590" t="s">
        <v>33</v>
      </c>
      <c r="E590" s="3">
        <v>1.75</v>
      </c>
      <c r="F590" s="3">
        <v>1.7149999999999999</v>
      </c>
      <c r="G590">
        <v>2.06</v>
      </c>
      <c r="H590" s="3">
        <v>3.605</v>
      </c>
      <c r="I590">
        <v>48</v>
      </c>
      <c r="J590">
        <v>0</v>
      </c>
      <c r="K590">
        <v>23</v>
      </c>
      <c r="L590" s="13">
        <f>(Table2[[#This Row],[STARTING INVENTORY]]-Table2[[#This Row],[ENDING INVENTORY]])/(Table2[[#This Row],[STARTING INVENTORY]])</f>
        <v>0.52083333333333337</v>
      </c>
      <c r="M590">
        <f>Table2[[#This Row],[STARTING INVENTORY]]-Table2[[#This Row],[ENDING INVENTORY]]</f>
        <v>25</v>
      </c>
    </row>
    <row r="591" spans="1:13">
      <c r="A591" t="s">
        <v>9</v>
      </c>
      <c r="B591" t="s">
        <v>166</v>
      </c>
      <c r="C591" t="s">
        <v>88</v>
      </c>
      <c r="D591" t="s">
        <v>33</v>
      </c>
      <c r="E591" s="3">
        <v>2.2000000000000002</v>
      </c>
      <c r="F591" s="3">
        <v>2.1560000000000001</v>
      </c>
      <c r="G591">
        <v>1.97</v>
      </c>
      <c r="H591" s="3">
        <v>4.3340000000000005</v>
      </c>
      <c r="I591">
        <v>110</v>
      </c>
      <c r="J591">
        <v>0</v>
      </c>
      <c r="K591">
        <v>98</v>
      </c>
      <c r="L591" s="13">
        <f>(Table2[[#This Row],[STARTING INVENTORY]]-Table2[[#This Row],[ENDING INVENTORY]])/(Table2[[#This Row],[STARTING INVENTORY]])</f>
        <v>0.10909090909090909</v>
      </c>
      <c r="M591">
        <f>Table2[[#This Row],[STARTING INVENTORY]]-Table2[[#This Row],[ENDING INVENTORY]]</f>
        <v>12</v>
      </c>
    </row>
    <row r="592" spans="1:13">
      <c r="A592" t="s">
        <v>9</v>
      </c>
      <c r="B592" t="s">
        <v>166</v>
      </c>
      <c r="C592" t="s">
        <v>94</v>
      </c>
      <c r="D592" t="s">
        <v>33</v>
      </c>
      <c r="E592" s="3">
        <v>2.75</v>
      </c>
      <c r="F592" s="3">
        <v>2.6949999999999998</v>
      </c>
      <c r="G592">
        <v>2.02</v>
      </c>
      <c r="H592" s="3">
        <v>5.5549999999999997</v>
      </c>
      <c r="I592">
        <v>67</v>
      </c>
      <c r="J592">
        <v>0</v>
      </c>
      <c r="K592">
        <v>12</v>
      </c>
      <c r="L592" s="13">
        <f>(Table2[[#This Row],[STARTING INVENTORY]]-Table2[[#This Row],[ENDING INVENTORY]])/(Table2[[#This Row],[STARTING INVENTORY]])</f>
        <v>0.82089552238805974</v>
      </c>
      <c r="M592">
        <f>Table2[[#This Row],[STARTING INVENTORY]]-Table2[[#This Row],[ENDING INVENTORY]]</f>
        <v>55</v>
      </c>
    </row>
    <row r="593" spans="1:13">
      <c r="A593" t="s">
        <v>9</v>
      </c>
      <c r="B593" t="s">
        <v>166</v>
      </c>
      <c r="C593" t="s">
        <v>100</v>
      </c>
      <c r="D593" t="s">
        <v>33</v>
      </c>
      <c r="E593" s="3">
        <v>2.4</v>
      </c>
      <c r="F593" s="3">
        <v>2.3519999999999999</v>
      </c>
      <c r="G593">
        <v>2.08</v>
      </c>
      <c r="H593" s="3">
        <v>4.992</v>
      </c>
      <c r="I593">
        <v>117</v>
      </c>
      <c r="J593">
        <v>0</v>
      </c>
      <c r="K593">
        <v>110</v>
      </c>
      <c r="L593" s="13">
        <f>(Table2[[#This Row],[STARTING INVENTORY]]-Table2[[#This Row],[ENDING INVENTORY]])/(Table2[[#This Row],[STARTING INVENTORY]])</f>
        <v>5.9829059829059832E-2</v>
      </c>
      <c r="M593">
        <f>Table2[[#This Row],[STARTING INVENTORY]]-Table2[[#This Row],[ENDING INVENTORY]]</f>
        <v>7</v>
      </c>
    </row>
    <row r="594" spans="1:13">
      <c r="A594" t="s">
        <v>9</v>
      </c>
      <c r="B594" t="s">
        <v>166</v>
      </c>
      <c r="C594" t="s">
        <v>106</v>
      </c>
      <c r="D594" t="s">
        <v>33</v>
      </c>
      <c r="E594" s="3">
        <v>2.7</v>
      </c>
      <c r="F594" s="3">
        <v>2.6459999999999999</v>
      </c>
      <c r="G594">
        <v>2.04</v>
      </c>
      <c r="H594" s="3">
        <v>5.5080000000000009</v>
      </c>
      <c r="I594">
        <v>134</v>
      </c>
      <c r="J594">
        <v>2</v>
      </c>
      <c r="K594">
        <v>97</v>
      </c>
      <c r="L594" s="13">
        <f>(Table2[[#This Row],[STARTING INVENTORY]]-Table2[[#This Row],[ENDING INVENTORY]])/(Table2[[#This Row],[STARTING INVENTORY]])</f>
        <v>0.27611940298507465</v>
      </c>
      <c r="M594">
        <f>Table2[[#This Row],[STARTING INVENTORY]]-Table2[[#This Row],[ENDING INVENTORY]]</f>
        <v>37</v>
      </c>
    </row>
    <row r="595" spans="1:13">
      <c r="A595" t="s">
        <v>9</v>
      </c>
      <c r="B595" t="s">
        <v>166</v>
      </c>
      <c r="C595" t="s">
        <v>112</v>
      </c>
      <c r="D595" t="s">
        <v>33</v>
      </c>
      <c r="E595" s="3">
        <v>2.6</v>
      </c>
      <c r="F595" s="3">
        <v>2.548</v>
      </c>
      <c r="G595">
        <v>2.08</v>
      </c>
      <c r="H595" s="3">
        <v>5.4080000000000004</v>
      </c>
      <c r="I595">
        <v>91</v>
      </c>
      <c r="J595">
        <v>3</v>
      </c>
      <c r="K595">
        <v>10</v>
      </c>
      <c r="L595" s="13">
        <f>(Table2[[#This Row],[STARTING INVENTORY]]-Table2[[#This Row],[ENDING INVENTORY]])/(Table2[[#This Row],[STARTING INVENTORY]])</f>
        <v>0.89010989010989006</v>
      </c>
      <c r="M595">
        <f>Table2[[#This Row],[STARTING INVENTORY]]-Table2[[#This Row],[ENDING INVENTORY]]</f>
        <v>81</v>
      </c>
    </row>
    <row r="596" spans="1:13">
      <c r="A596" t="s">
        <v>9</v>
      </c>
      <c r="B596" t="s">
        <v>166</v>
      </c>
      <c r="C596" t="s">
        <v>118</v>
      </c>
      <c r="D596" t="s">
        <v>33</v>
      </c>
      <c r="E596" s="3">
        <v>4</v>
      </c>
      <c r="F596" s="3">
        <v>3.92</v>
      </c>
      <c r="G596">
        <v>2.04</v>
      </c>
      <c r="H596" s="3">
        <v>8.16</v>
      </c>
      <c r="I596">
        <v>122</v>
      </c>
      <c r="J596">
        <v>1</v>
      </c>
      <c r="K596">
        <v>99</v>
      </c>
      <c r="L596" s="13">
        <f>(Table2[[#This Row],[STARTING INVENTORY]]-Table2[[#This Row],[ENDING INVENTORY]])/(Table2[[#This Row],[STARTING INVENTORY]])</f>
        <v>0.18852459016393441</v>
      </c>
      <c r="M596">
        <f>Table2[[#This Row],[STARTING INVENTORY]]-Table2[[#This Row],[ENDING INVENTORY]]</f>
        <v>23</v>
      </c>
    </row>
    <row r="597" spans="1:13">
      <c r="A597" t="s">
        <v>9</v>
      </c>
      <c r="B597" t="s">
        <v>166</v>
      </c>
      <c r="C597" t="s">
        <v>124</v>
      </c>
      <c r="D597" t="s">
        <v>33</v>
      </c>
      <c r="E597" s="3">
        <v>4.25</v>
      </c>
      <c r="F597" s="3">
        <v>4.165</v>
      </c>
      <c r="G597">
        <v>1.96</v>
      </c>
      <c r="H597" s="3">
        <v>8.33</v>
      </c>
      <c r="I597">
        <v>55</v>
      </c>
      <c r="J597">
        <v>2</v>
      </c>
      <c r="K597">
        <v>50</v>
      </c>
      <c r="L597" s="13">
        <f>(Table2[[#This Row],[STARTING INVENTORY]]-Table2[[#This Row],[ENDING INVENTORY]])/(Table2[[#This Row],[STARTING INVENTORY]])</f>
        <v>9.0909090909090912E-2</v>
      </c>
      <c r="M597">
        <f>Table2[[#This Row],[STARTING INVENTORY]]-Table2[[#This Row],[ENDING INVENTORY]]</f>
        <v>5</v>
      </c>
    </row>
    <row r="598" spans="1:13">
      <c r="A598" t="s">
        <v>9</v>
      </c>
      <c r="B598" t="s">
        <v>166</v>
      </c>
      <c r="C598" t="s">
        <v>130</v>
      </c>
      <c r="D598" t="s">
        <v>33</v>
      </c>
      <c r="E598" s="3">
        <v>5</v>
      </c>
      <c r="F598" s="3">
        <v>4.9000000000000004</v>
      </c>
      <c r="G598">
        <v>1.95</v>
      </c>
      <c r="H598" s="3">
        <v>9.75</v>
      </c>
      <c r="I598">
        <v>108</v>
      </c>
      <c r="J598">
        <v>3</v>
      </c>
      <c r="K598">
        <v>16</v>
      </c>
      <c r="L598" s="13">
        <f>(Table2[[#This Row],[STARTING INVENTORY]]-Table2[[#This Row],[ENDING INVENTORY]])/(Table2[[#This Row],[STARTING INVENTORY]])</f>
        <v>0.85185185185185186</v>
      </c>
      <c r="M598">
        <f>Table2[[#This Row],[STARTING INVENTORY]]-Table2[[#This Row],[ENDING INVENTORY]]</f>
        <v>92</v>
      </c>
    </row>
    <row r="599" spans="1:13">
      <c r="A599" t="s">
        <v>9</v>
      </c>
      <c r="B599" t="s">
        <v>166</v>
      </c>
      <c r="C599" t="s">
        <v>136</v>
      </c>
      <c r="D599" t="s">
        <v>33</v>
      </c>
      <c r="E599" s="3">
        <v>3</v>
      </c>
      <c r="F599" s="3">
        <v>2.94</v>
      </c>
      <c r="G599">
        <v>1.98</v>
      </c>
      <c r="H599" s="3">
        <v>5.9399999999999995</v>
      </c>
      <c r="I599">
        <v>138</v>
      </c>
      <c r="J599">
        <v>0</v>
      </c>
      <c r="K599">
        <v>98</v>
      </c>
      <c r="L599" s="13">
        <f>(Table2[[#This Row],[STARTING INVENTORY]]-Table2[[#This Row],[ENDING INVENTORY]])/(Table2[[#This Row],[STARTING INVENTORY]])</f>
        <v>0.28985507246376813</v>
      </c>
      <c r="M599">
        <f>Table2[[#This Row],[STARTING INVENTORY]]-Table2[[#This Row],[ENDING INVENTORY]]</f>
        <v>40</v>
      </c>
    </row>
    <row r="600" spans="1:13">
      <c r="A600" t="s">
        <v>9</v>
      </c>
      <c r="B600" t="s">
        <v>166</v>
      </c>
      <c r="C600" t="s">
        <v>142</v>
      </c>
      <c r="D600" t="s">
        <v>33</v>
      </c>
      <c r="E600" s="3">
        <v>2.4</v>
      </c>
      <c r="F600" s="3">
        <v>2.3519999999999999</v>
      </c>
      <c r="G600">
        <v>2.09</v>
      </c>
      <c r="H600" s="3">
        <v>5.0159999999999991</v>
      </c>
      <c r="I600">
        <v>51</v>
      </c>
      <c r="J600">
        <v>1</v>
      </c>
      <c r="K600">
        <v>17</v>
      </c>
      <c r="L600" s="13">
        <f>(Table2[[#This Row],[STARTING INVENTORY]]-Table2[[#This Row],[ENDING INVENTORY]])/(Table2[[#This Row],[STARTING INVENTORY]])</f>
        <v>0.66666666666666663</v>
      </c>
      <c r="M600">
        <f>Table2[[#This Row],[STARTING INVENTORY]]-Table2[[#This Row],[ENDING INVENTORY]]</f>
        <v>34</v>
      </c>
    </row>
    <row r="601" spans="1:13">
      <c r="A601" t="s">
        <v>9</v>
      </c>
      <c r="B601" t="s">
        <v>166</v>
      </c>
      <c r="C601" t="s">
        <v>148</v>
      </c>
      <c r="D601" t="s">
        <v>33</v>
      </c>
      <c r="E601" s="3">
        <v>3.25</v>
      </c>
      <c r="F601" s="3">
        <v>3.1850000000000001</v>
      </c>
      <c r="G601">
        <v>2.02</v>
      </c>
      <c r="H601" s="3">
        <v>6.5650000000000004</v>
      </c>
      <c r="I601">
        <v>64</v>
      </c>
      <c r="J601">
        <v>9</v>
      </c>
      <c r="K601">
        <v>39</v>
      </c>
      <c r="L601" s="13">
        <f>(Table2[[#This Row],[STARTING INVENTORY]]-Table2[[#This Row],[ENDING INVENTORY]])/(Table2[[#This Row],[STARTING INVENTORY]])</f>
        <v>0.390625</v>
      </c>
      <c r="M601">
        <f>Table2[[#This Row],[STARTING INVENTORY]]-Table2[[#This Row],[ENDING INVENTORY]]</f>
        <v>25</v>
      </c>
    </row>
    <row r="602" spans="1:13">
      <c r="A602" t="s">
        <v>10</v>
      </c>
      <c r="B602" t="s">
        <v>161</v>
      </c>
      <c r="C602" t="s">
        <v>28</v>
      </c>
      <c r="D602" t="s">
        <v>29</v>
      </c>
      <c r="E602" s="3">
        <v>0.35</v>
      </c>
      <c r="F602" s="3">
        <v>0.33249999999999996</v>
      </c>
      <c r="G602">
        <v>1.96</v>
      </c>
      <c r="H602" s="3">
        <v>0.68599999999999994</v>
      </c>
      <c r="I602">
        <v>172</v>
      </c>
      <c r="J602">
        <v>2</v>
      </c>
      <c r="K602">
        <v>151</v>
      </c>
      <c r="L602" s="13">
        <f>(Table2[[#This Row],[STARTING INVENTORY]]-Table2[[#This Row],[ENDING INVENTORY]])/(Table2[[#This Row],[STARTING INVENTORY]])</f>
        <v>0.12209302325581395</v>
      </c>
      <c r="M602">
        <f>Table2[[#This Row],[STARTING INVENTORY]]-Table2[[#This Row],[ENDING INVENTORY]]</f>
        <v>21</v>
      </c>
    </row>
    <row r="603" spans="1:13">
      <c r="A603" t="s">
        <v>10</v>
      </c>
      <c r="B603" t="s">
        <v>161</v>
      </c>
      <c r="C603" t="s">
        <v>36</v>
      </c>
      <c r="D603" t="s">
        <v>29</v>
      </c>
      <c r="E603" s="3">
        <v>0.85</v>
      </c>
      <c r="F603" s="3">
        <v>0.8075</v>
      </c>
      <c r="G603">
        <v>2.02</v>
      </c>
      <c r="H603" s="3">
        <v>1.7169999999999999</v>
      </c>
      <c r="I603">
        <v>102</v>
      </c>
      <c r="J603">
        <v>1</v>
      </c>
      <c r="K603">
        <v>18</v>
      </c>
      <c r="L603" s="13">
        <f>(Table2[[#This Row],[STARTING INVENTORY]]-Table2[[#This Row],[ENDING INVENTORY]])/(Table2[[#This Row],[STARTING INVENTORY]])</f>
        <v>0.82352941176470584</v>
      </c>
      <c r="M603">
        <f>Table2[[#This Row],[STARTING INVENTORY]]-Table2[[#This Row],[ENDING INVENTORY]]</f>
        <v>84</v>
      </c>
    </row>
    <row r="604" spans="1:13">
      <c r="A604" t="s">
        <v>10</v>
      </c>
      <c r="B604" t="s">
        <v>161</v>
      </c>
      <c r="C604" t="s">
        <v>42</v>
      </c>
      <c r="D604" t="s">
        <v>29</v>
      </c>
      <c r="E604" s="3">
        <v>0.7</v>
      </c>
      <c r="F604" s="3">
        <v>0.66499999999999992</v>
      </c>
      <c r="G604">
        <v>2.06</v>
      </c>
      <c r="H604" s="3">
        <v>1.4419999999999999</v>
      </c>
      <c r="I604">
        <v>193</v>
      </c>
      <c r="J604">
        <v>2</v>
      </c>
      <c r="K604">
        <v>164</v>
      </c>
      <c r="L604" s="13">
        <f>(Table2[[#This Row],[STARTING INVENTORY]]-Table2[[#This Row],[ENDING INVENTORY]])/(Table2[[#This Row],[STARTING INVENTORY]])</f>
        <v>0.15025906735751296</v>
      </c>
      <c r="M604">
        <f>Table2[[#This Row],[STARTING INVENTORY]]-Table2[[#This Row],[ENDING INVENTORY]]</f>
        <v>29</v>
      </c>
    </row>
    <row r="605" spans="1:13">
      <c r="A605" t="s">
        <v>10</v>
      </c>
      <c r="B605" t="s">
        <v>161</v>
      </c>
      <c r="C605" t="s">
        <v>48</v>
      </c>
      <c r="D605" t="s">
        <v>33</v>
      </c>
      <c r="E605" s="3">
        <v>0.35</v>
      </c>
      <c r="F605" s="3">
        <v>0.33249999999999996</v>
      </c>
      <c r="G605">
        <v>2.0099999999999998</v>
      </c>
      <c r="H605" s="3">
        <v>0.7034999999999999</v>
      </c>
      <c r="I605">
        <v>106</v>
      </c>
      <c r="J605">
        <v>1</v>
      </c>
      <c r="K605">
        <v>102</v>
      </c>
      <c r="L605" s="13">
        <f>(Table2[[#This Row],[STARTING INVENTORY]]-Table2[[#This Row],[ENDING INVENTORY]])/(Table2[[#This Row],[STARTING INVENTORY]])</f>
        <v>3.7735849056603772E-2</v>
      </c>
      <c r="M605">
        <f>Table2[[#This Row],[STARTING INVENTORY]]-Table2[[#This Row],[ENDING INVENTORY]]</f>
        <v>4</v>
      </c>
    </row>
    <row r="606" spans="1:13">
      <c r="A606" t="s">
        <v>10</v>
      </c>
      <c r="B606" t="s">
        <v>161</v>
      </c>
      <c r="C606" t="s">
        <v>54</v>
      </c>
      <c r="D606" t="s">
        <v>33</v>
      </c>
      <c r="E606" s="3">
        <v>0.2</v>
      </c>
      <c r="F606" s="3">
        <v>0.19</v>
      </c>
      <c r="G606">
        <v>1.96</v>
      </c>
      <c r="H606" s="3">
        <v>0.39200000000000002</v>
      </c>
      <c r="I606">
        <v>88</v>
      </c>
      <c r="J606">
        <v>2</v>
      </c>
      <c r="K606">
        <v>84</v>
      </c>
      <c r="L606" s="13">
        <f>(Table2[[#This Row],[STARTING INVENTORY]]-Table2[[#This Row],[ENDING INVENTORY]])/(Table2[[#This Row],[STARTING INVENTORY]])</f>
        <v>4.5454545454545456E-2</v>
      </c>
      <c r="M606">
        <f>Table2[[#This Row],[STARTING INVENTORY]]-Table2[[#This Row],[ENDING INVENTORY]]</f>
        <v>4</v>
      </c>
    </row>
    <row r="607" spans="1:13">
      <c r="A607" t="s">
        <v>10</v>
      </c>
      <c r="B607" t="s">
        <v>161</v>
      </c>
      <c r="C607" t="s">
        <v>60</v>
      </c>
      <c r="D607" t="s">
        <v>33</v>
      </c>
      <c r="E607" s="3">
        <v>0.75</v>
      </c>
      <c r="F607" s="3">
        <v>0.71249999999999991</v>
      </c>
      <c r="G607">
        <v>2.04</v>
      </c>
      <c r="H607" s="3">
        <v>1.53</v>
      </c>
      <c r="I607">
        <v>158</v>
      </c>
      <c r="J607">
        <v>0</v>
      </c>
      <c r="K607">
        <v>7</v>
      </c>
      <c r="L607" s="13">
        <f>(Table2[[#This Row],[STARTING INVENTORY]]-Table2[[#This Row],[ENDING INVENTORY]])/(Table2[[#This Row],[STARTING INVENTORY]])</f>
        <v>0.95569620253164556</v>
      </c>
      <c r="M607">
        <f>Table2[[#This Row],[STARTING INVENTORY]]-Table2[[#This Row],[ENDING INVENTORY]]</f>
        <v>151</v>
      </c>
    </row>
    <row r="608" spans="1:13">
      <c r="A608" t="s">
        <v>10</v>
      </c>
      <c r="B608" t="s">
        <v>161</v>
      </c>
      <c r="C608" t="s">
        <v>66</v>
      </c>
      <c r="D608" t="s">
        <v>29</v>
      </c>
      <c r="E608" s="3">
        <v>0.6</v>
      </c>
      <c r="F608" s="3">
        <v>0.56999999999999995</v>
      </c>
      <c r="G608">
        <v>2.06</v>
      </c>
      <c r="H608" s="3">
        <v>1.236</v>
      </c>
      <c r="I608">
        <v>91</v>
      </c>
      <c r="J608">
        <v>0</v>
      </c>
      <c r="K608">
        <v>27</v>
      </c>
      <c r="L608" s="13">
        <f>(Table2[[#This Row],[STARTING INVENTORY]]-Table2[[#This Row],[ENDING INVENTORY]])/(Table2[[#This Row],[STARTING INVENTORY]])</f>
        <v>0.70329670329670335</v>
      </c>
      <c r="M608">
        <f>Table2[[#This Row],[STARTING INVENTORY]]-Table2[[#This Row],[ENDING INVENTORY]]</f>
        <v>64</v>
      </c>
    </row>
    <row r="609" spans="1:13">
      <c r="A609" t="s">
        <v>10</v>
      </c>
      <c r="B609" t="s">
        <v>161</v>
      </c>
      <c r="C609" t="s">
        <v>72</v>
      </c>
      <c r="D609" t="s">
        <v>29</v>
      </c>
      <c r="E609" s="3">
        <v>0.45</v>
      </c>
      <c r="F609" s="3">
        <v>0.42749999999999999</v>
      </c>
      <c r="G609">
        <v>1.95</v>
      </c>
      <c r="H609" s="3">
        <v>0.87749999999999995</v>
      </c>
      <c r="I609">
        <v>191</v>
      </c>
      <c r="J609">
        <v>0</v>
      </c>
      <c r="K609">
        <v>4</v>
      </c>
      <c r="L609" s="13">
        <f>(Table2[[#This Row],[STARTING INVENTORY]]-Table2[[#This Row],[ENDING INVENTORY]])/(Table2[[#This Row],[STARTING INVENTORY]])</f>
        <v>0.97905759162303663</v>
      </c>
      <c r="M609">
        <f>Table2[[#This Row],[STARTING INVENTORY]]-Table2[[#This Row],[ENDING INVENTORY]]</f>
        <v>187</v>
      </c>
    </row>
    <row r="610" spans="1:13">
      <c r="A610" t="s">
        <v>10</v>
      </c>
      <c r="B610" t="s">
        <v>161</v>
      </c>
      <c r="C610" t="s">
        <v>78</v>
      </c>
      <c r="D610" t="s">
        <v>29</v>
      </c>
      <c r="E610" s="3">
        <v>0.4</v>
      </c>
      <c r="F610" s="3">
        <v>0.38</v>
      </c>
      <c r="G610">
        <v>2.0099999999999998</v>
      </c>
      <c r="H610" s="3">
        <v>0.80399999999999994</v>
      </c>
      <c r="I610">
        <v>171</v>
      </c>
      <c r="J610">
        <v>7</v>
      </c>
      <c r="K610">
        <v>144</v>
      </c>
      <c r="L610" s="13">
        <f>(Table2[[#This Row],[STARTING INVENTORY]]-Table2[[#This Row],[ENDING INVENTORY]])/(Table2[[#This Row],[STARTING INVENTORY]])</f>
        <v>0.15789473684210525</v>
      </c>
      <c r="M610">
        <f>Table2[[#This Row],[STARTING INVENTORY]]-Table2[[#This Row],[ENDING INVENTORY]]</f>
        <v>27</v>
      </c>
    </row>
    <row r="611" spans="1:13">
      <c r="A611" t="s">
        <v>10</v>
      </c>
      <c r="B611" t="s">
        <v>161</v>
      </c>
      <c r="C611" t="s">
        <v>84</v>
      </c>
      <c r="D611" t="s">
        <v>29</v>
      </c>
      <c r="E611" s="3">
        <v>0.35</v>
      </c>
      <c r="F611" s="3">
        <v>0.33249999999999996</v>
      </c>
      <c r="G611">
        <v>1.95</v>
      </c>
      <c r="H611" s="3">
        <v>0.6825</v>
      </c>
      <c r="I611">
        <v>182</v>
      </c>
      <c r="J611">
        <v>4</v>
      </c>
      <c r="K611">
        <v>100</v>
      </c>
      <c r="L611" s="13">
        <f>(Table2[[#This Row],[STARTING INVENTORY]]-Table2[[#This Row],[ENDING INVENTORY]])/(Table2[[#This Row],[STARTING INVENTORY]])</f>
        <v>0.45054945054945056</v>
      </c>
      <c r="M611">
        <f>Table2[[#This Row],[STARTING INVENTORY]]-Table2[[#This Row],[ENDING INVENTORY]]</f>
        <v>82</v>
      </c>
    </row>
    <row r="612" spans="1:13">
      <c r="A612" t="s">
        <v>10</v>
      </c>
      <c r="B612" t="s">
        <v>161</v>
      </c>
      <c r="C612" t="s">
        <v>90</v>
      </c>
      <c r="D612" t="s">
        <v>29</v>
      </c>
      <c r="E612" s="3">
        <v>0.9</v>
      </c>
      <c r="F612" s="3">
        <v>0.85499999999999998</v>
      </c>
      <c r="G612">
        <v>1.99</v>
      </c>
      <c r="H612" s="3">
        <v>1.7909999999999999</v>
      </c>
      <c r="I612">
        <v>124</v>
      </c>
      <c r="J612">
        <v>0</v>
      </c>
      <c r="K612">
        <v>35</v>
      </c>
      <c r="L612" s="13">
        <f>(Table2[[#This Row],[STARTING INVENTORY]]-Table2[[#This Row],[ENDING INVENTORY]])/(Table2[[#This Row],[STARTING INVENTORY]])</f>
        <v>0.717741935483871</v>
      </c>
      <c r="M612">
        <f>Table2[[#This Row],[STARTING INVENTORY]]-Table2[[#This Row],[ENDING INVENTORY]]</f>
        <v>89</v>
      </c>
    </row>
    <row r="613" spans="1:13">
      <c r="A613" t="s">
        <v>10</v>
      </c>
      <c r="B613" t="s">
        <v>161</v>
      </c>
      <c r="C613" t="s">
        <v>96</v>
      </c>
      <c r="D613" t="s">
        <v>33</v>
      </c>
      <c r="E613" s="3">
        <v>1</v>
      </c>
      <c r="F613" s="3">
        <v>0.95</v>
      </c>
      <c r="G613">
        <v>1.98</v>
      </c>
      <c r="H613" s="3">
        <v>1.98</v>
      </c>
      <c r="I613">
        <v>195</v>
      </c>
      <c r="J613">
        <v>0</v>
      </c>
      <c r="K613">
        <v>117</v>
      </c>
      <c r="L613" s="13">
        <f>(Table2[[#This Row],[STARTING INVENTORY]]-Table2[[#This Row],[ENDING INVENTORY]])/(Table2[[#This Row],[STARTING INVENTORY]])</f>
        <v>0.4</v>
      </c>
      <c r="M613">
        <f>Table2[[#This Row],[STARTING INVENTORY]]-Table2[[#This Row],[ENDING INVENTORY]]</f>
        <v>78</v>
      </c>
    </row>
    <row r="614" spans="1:13">
      <c r="A614" t="s">
        <v>10</v>
      </c>
      <c r="B614" t="s">
        <v>161</v>
      </c>
      <c r="C614" t="s">
        <v>102</v>
      </c>
      <c r="D614" t="s">
        <v>29</v>
      </c>
      <c r="E614" s="3">
        <v>2.56</v>
      </c>
      <c r="F614" s="3">
        <v>2.4319999999999999</v>
      </c>
      <c r="G614">
        <v>2.0499999999999998</v>
      </c>
      <c r="H614" s="3">
        <v>5.2479999999999993</v>
      </c>
      <c r="I614">
        <v>125</v>
      </c>
      <c r="J614">
        <v>4</v>
      </c>
      <c r="K614">
        <v>18</v>
      </c>
      <c r="L614" s="13">
        <f>(Table2[[#This Row],[STARTING INVENTORY]]-Table2[[#This Row],[ENDING INVENTORY]])/(Table2[[#This Row],[STARTING INVENTORY]])</f>
        <v>0.85599999999999998</v>
      </c>
      <c r="M614">
        <f>Table2[[#This Row],[STARTING INVENTORY]]-Table2[[#This Row],[ENDING INVENTORY]]</f>
        <v>107</v>
      </c>
    </row>
    <row r="615" spans="1:13">
      <c r="A615" t="s">
        <v>10</v>
      </c>
      <c r="B615" t="s">
        <v>161</v>
      </c>
      <c r="C615" t="s">
        <v>108</v>
      </c>
      <c r="D615" t="s">
        <v>29</v>
      </c>
      <c r="E615" s="3">
        <v>0.75</v>
      </c>
      <c r="F615" s="3">
        <v>0.71249999999999991</v>
      </c>
      <c r="G615">
        <v>2.1</v>
      </c>
      <c r="H615" s="3">
        <v>1.5750000000000002</v>
      </c>
      <c r="I615">
        <v>58</v>
      </c>
      <c r="J615">
        <v>0</v>
      </c>
      <c r="K615">
        <v>26</v>
      </c>
      <c r="L615" s="13">
        <f>(Table2[[#This Row],[STARTING INVENTORY]]-Table2[[#This Row],[ENDING INVENTORY]])/(Table2[[#This Row],[STARTING INVENTORY]])</f>
        <v>0.55172413793103448</v>
      </c>
      <c r="M615">
        <f>Table2[[#This Row],[STARTING INVENTORY]]-Table2[[#This Row],[ENDING INVENTORY]]</f>
        <v>32</v>
      </c>
    </row>
    <row r="616" spans="1:13">
      <c r="A616" t="s">
        <v>10</v>
      </c>
      <c r="B616" t="s">
        <v>161</v>
      </c>
      <c r="C616" t="s">
        <v>114</v>
      </c>
      <c r="D616" t="s">
        <v>33</v>
      </c>
      <c r="E616" s="3">
        <v>0.4</v>
      </c>
      <c r="F616" s="3">
        <v>0.38</v>
      </c>
      <c r="G616">
        <v>1.97</v>
      </c>
      <c r="H616" s="3">
        <v>0.78800000000000003</v>
      </c>
      <c r="I616">
        <v>123</v>
      </c>
      <c r="J616">
        <v>0</v>
      </c>
      <c r="K616">
        <v>116</v>
      </c>
      <c r="L616" s="13">
        <f>(Table2[[#This Row],[STARTING INVENTORY]]-Table2[[#This Row],[ENDING INVENTORY]])/(Table2[[#This Row],[STARTING INVENTORY]])</f>
        <v>5.6910569105691054E-2</v>
      </c>
      <c r="M616">
        <f>Table2[[#This Row],[STARTING INVENTORY]]-Table2[[#This Row],[ENDING INVENTORY]]</f>
        <v>7</v>
      </c>
    </row>
    <row r="617" spans="1:13">
      <c r="A617" t="s">
        <v>10</v>
      </c>
      <c r="B617" t="s">
        <v>161</v>
      </c>
      <c r="C617" t="s">
        <v>120</v>
      </c>
      <c r="D617" t="s">
        <v>29</v>
      </c>
      <c r="E617" s="3">
        <v>1.4</v>
      </c>
      <c r="F617" s="3">
        <v>1.3299999999999998</v>
      </c>
      <c r="G617">
        <v>2.06</v>
      </c>
      <c r="H617" s="3">
        <v>2.8839999999999999</v>
      </c>
      <c r="I617">
        <v>194</v>
      </c>
      <c r="J617">
        <v>8</v>
      </c>
      <c r="K617">
        <v>97</v>
      </c>
      <c r="L617" s="13">
        <f>(Table2[[#This Row],[STARTING INVENTORY]]-Table2[[#This Row],[ENDING INVENTORY]])/(Table2[[#This Row],[STARTING INVENTORY]])</f>
        <v>0.5</v>
      </c>
      <c r="M617">
        <f>Table2[[#This Row],[STARTING INVENTORY]]-Table2[[#This Row],[ENDING INVENTORY]]</f>
        <v>97</v>
      </c>
    </row>
    <row r="618" spans="1:13">
      <c r="A618" t="s">
        <v>10</v>
      </c>
      <c r="B618" t="s">
        <v>161</v>
      </c>
      <c r="C618" t="s">
        <v>126</v>
      </c>
      <c r="D618" t="s">
        <v>29</v>
      </c>
      <c r="E618" s="3">
        <v>2</v>
      </c>
      <c r="F618" s="3">
        <v>1.9</v>
      </c>
      <c r="G618">
        <v>2.1</v>
      </c>
      <c r="H618" s="3">
        <v>4.2</v>
      </c>
      <c r="I618">
        <v>56</v>
      </c>
      <c r="J618">
        <v>1</v>
      </c>
      <c r="K618">
        <v>10</v>
      </c>
      <c r="L618" s="13">
        <f>(Table2[[#This Row],[STARTING INVENTORY]]-Table2[[#This Row],[ENDING INVENTORY]])/(Table2[[#This Row],[STARTING INVENTORY]])</f>
        <v>0.8214285714285714</v>
      </c>
      <c r="M618">
        <f>Table2[[#This Row],[STARTING INVENTORY]]-Table2[[#This Row],[ENDING INVENTORY]]</f>
        <v>46</v>
      </c>
    </row>
    <row r="619" spans="1:13">
      <c r="A619" t="s">
        <v>10</v>
      </c>
      <c r="B619" t="s">
        <v>161</v>
      </c>
      <c r="C619" t="s">
        <v>132</v>
      </c>
      <c r="D619" t="s">
        <v>29</v>
      </c>
      <c r="E619" s="3">
        <v>0.45</v>
      </c>
      <c r="F619" s="3">
        <v>0.42749999999999999</v>
      </c>
      <c r="G619">
        <v>1.95</v>
      </c>
      <c r="H619" s="3">
        <v>0.87749999999999995</v>
      </c>
      <c r="I619">
        <v>190</v>
      </c>
      <c r="J619">
        <v>3</v>
      </c>
      <c r="K619">
        <v>53</v>
      </c>
      <c r="L619" s="13">
        <f>(Table2[[#This Row],[STARTING INVENTORY]]-Table2[[#This Row],[ENDING INVENTORY]])/(Table2[[#This Row],[STARTING INVENTORY]])</f>
        <v>0.72105263157894739</v>
      </c>
      <c r="M619">
        <f>Table2[[#This Row],[STARTING INVENTORY]]-Table2[[#This Row],[ENDING INVENTORY]]</f>
        <v>137</v>
      </c>
    </row>
    <row r="620" spans="1:13">
      <c r="A620" t="s">
        <v>10</v>
      </c>
      <c r="B620" t="s">
        <v>161</v>
      </c>
      <c r="C620" t="s">
        <v>138</v>
      </c>
      <c r="D620" t="s">
        <v>33</v>
      </c>
      <c r="E620" s="3">
        <v>1.9</v>
      </c>
      <c r="F620" s="3">
        <v>1.8049999999999999</v>
      </c>
      <c r="G620">
        <v>2.0499999999999998</v>
      </c>
      <c r="H620" s="3">
        <v>3.8949999999999996</v>
      </c>
      <c r="I620">
        <v>186</v>
      </c>
      <c r="J620">
        <v>9</v>
      </c>
      <c r="K620">
        <v>172</v>
      </c>
      <c r="L620" s="13">
        <f>(Table2[[#This Row],[STARTING INVENTORY]]-Table2[[#This Row],[ENDING INVENTORY]])/(Table2[[#This Row],[STARTING INVENTORY]])</f>
        <v>7.5268817204301078E-2</v>
      </c>
      <c r="M620">
        <f>Table2[[#This Row],[STARTING INVENTORY]]-Table2[[#This Row],[ENDING INVENTORY]]</f>
        <v>14</v>
      </c>
    </row>
    <row r="621" spans="1:13">
      <c r="A621" t="s">
        <v>10</v>
      </c>
      <c r="B621" t="s">
        <v>161</v>
      </c>
      <c r="C621" t="s">
        <v>144</v>
      </c>
      <c r="D621" t="s">
        <v>33</v>
      </c>
      <c r="E621" s="3">
        <v>4</v>
      </c>
      <c r="F621" s="3">
        <v>3.8</v>
      </c>
      <c r="G621">
        <v>1.97</v>
      </c>
      <c r="H621" s="3">
        <v>7.88</v>
      </c>
      <c r="I621">
        <v>76</v>
      </c>
      <c r="J621">
        <v>1</v>
      </c>
      <c r="K621">
        <v>46</v>
      </c>
      <c r="L621" s="13">
        <f>(Table2[[#This Row],[STARTING INVENTORY]]-Table2[[#This Row],[ENDING INVENTORY]])/(Table2[[#This Row],[STARTING INVENTORY]])</f>
        <v>0.39473684210526316</v>
      </c>
      <c r="M621">
        <f>Table2[[#This Row],[STARTING INVENTORY]]-Table2[[#This Row],[ENDING INVENTORY]]</f>
        <v>30</v>
      </c>
    </row>
    <row r="622" spans="1:13">
      <c r="A622" t="s">
        <v>10</v>
      </c>
      <c r="B622" t="s">
        <v>162</v>
      </c>
      <c r="C622" t="s">
        <v>30</v>
      </c>
      <c r="D622" t="s">
        <v>29</v>
      </c>
      <c r="E622" s="3">
        <v>2.85</v>
      </c>
      <c r="F622" s="3">
        <v>2.7075</v>
      </c>
      <c r="G622">
        <v>1.95</v>
      </c>
      <c r="H622" s="3">
        <v>5.5575000000000001</v>
      </c>
      <c r="I622">
        <v>85</v>
      </c>
      <c r="J622">
        <v>0</v>
      </c>
      <c r="K622">
        <v>11</v>
      </c>
      <c r="L622" s="13">
        <f>(Table2[[#This Row],[STARTING INVENTORY]]-Table2[[#This Row],[ENDING INVENTORY]])/(Table2[[#This Row],[STARTING INVENTORY]])</f>
        <v>0.87058823529411766</v>
      </c>
      <c r="M622">
        <f>Table2[[#This Row],[STARTING INVENTORY]]-Table2[[#This Row],[ENDING INVENTORY]]</f>
        <v>74</v>
      </c>
    </row>
    <row r="623" spans="1:13">
      <c r="A623" t="s">
        <v>10</v>
      </c>
      <c r="B623" t="s">
        <v>162</v>
      </c>
      <c r="C623" t="s">
        <v>37</v>
      </c>
      <c r="D623" t="s">
        <v>29</v>
      </c>
      <c r="E623" s="3">
        <v>2.5</v>
      </c>
      <c r="F623" s="3">
        <v>2.375</v>
      </c>
      <c r="G623">
        <v>2.1</v>
      </c>
      <c r="H623" s="3">
        <v>5.25</v>
      </c>
      <c r="I623">
        <v>24</v>
      </c>
      <c r="J623">
        <v>0</v>
      </c>
      <c r="K623">
        <v>21</v>
      </c>
      <c r="L623" s="13">
        <f>(Table2[[#This Row],[STARTING INVENTORY]]-Table2[[#This Row],[ENDING INVENTORY]])/(Table2[[#This Row],[STARTING INVENTORY]])</f>
        <v>0.125</v>
      </c>
      <c r="M623">
        <f>Table2[[#This Row],[STARTING INVENTORY]]-Table2[[#This Row],[ENDING INVENTORY]]</f>
        <v>3</v>
      </c>
    </row>
    <row r="624" spans="1:13">
      <c r="A624" t="s">
        <v>10</v>
      </c>
      <c r="B624" t="s">
        <v>162</v>
      </c>
      <c r="C624" t="s">
        <v>43</v>
      </c>
      <c r="D624" t="s">
        <v>29</v>
      </c>
      <c r="E624" s="3">
        <v>2.1</v>
      </c>
      <c r="F624" s="3">
        <v>1.9949999999999999</v>
      </c>
      <c r="G624">
        <v>2.0099999999999998</v>
      </c>
      <c r="H624" s="3">
        <v>4.2210000000000001</v>
      </c>
      <c r="I624">
        <v>48</v>
      </c>
      <c r="J624">
        <v>5</v>
      </c>
      <c r="K624">
        <v>20</v>
      </c>
      <c r="L624" s="13">
        <f>(Table2[[#This Row],[STARTING INVENTORY]]-Table2[[#This Row],[ENDING INVENTORY]])/(Table2[[#This Row],[STARTING INVENTORY]])</f>
        <v>0.58333333333333337</v>
      </c>
      <c r="M624">
        <f>Table2[[#This Row],[STARTING INVENTORY]]-Table2[[#This Row],[ENDING INVENTORY]]</f>
        <v>28</v>
      </c>
    </row>
    <row r="625" spans="1:13">
      <c r="A625" t="s">
        <v>10</v>
      </c>
      <c r="B625" t="s">
        <v>162</v>
      </c>
      <c r="C625" t="s">
        <v>49</v>
      </c>
      <c r="D625" t="s">
        <v>29</v>
      </c>
      <c r="E625" s="3">
        <v>1</v>
      </c>
      <c r="F625" s="3">
        <v>0.95</v>
      </c>
      <c r="G625">
        <v>2.06</v>
      </c>
      <c r="H625" s="3">
        <v>2.06</v>
      </c>
      <c r="I625">
        <v>56</v>
      </c>
      <c r="J625">
        <v>6</v>
      </c>
      <c r="K625">
        <v>10</v>
      </c>
      <c r="L625" s="13">
        <f>(Table2[[#This Row],[STARTING INVENTORY]]-Table2[[#This Row],[ENDING INVENTORY]])/(Table2[[#This Row],[STARTING INVENTORY]])</f>
        <v>0.8214285714285714</v>
      </c>
      <c r="M625">
        <f>Table2[[#This Row],[STARTING INVENTORY]]-Table2[[#This Row],[ENDING INVENTORY]]</f>
        <v>46</v>
      </c>
    </row>
    <row r="626" spans="1:13">
      <c r="A626" t="s">
        <v>10</v>
      </c>
      <c r="B626" t="s">
        <v>162</v>
      </c>
      <c r="C626" t="s">
        <v>55</v>
      </c>
      <c r="D626" t="s">
        <v>29</v>
      </c>
      <c r="E626" s="3">
        <v>0.9</v>
      </c>
      <c r="F626" s="3">
        <v>0.85499999999999998</v>
      </c>
      <c r="G626">
        <v>2</v>
      </c>
      <c r="H626" s="3">
        <v>1.8</v>
      </c>
      <c r="I626">
        <v>57</v>
      </c>
      <c r="J626">
        <v>4</v>
      </c>
      <c r="K626">
        <v>38</v>
      </c>
      <c r="L626" s="13">
        <f>(Table2[[#This Row],[STARTING INVENTORY]]-Table2[[#This Row],[ENDING INVENTORY]])/(Table2[[#This Row],[STARTING INVENTORY]])</f>
        <v>0.33333333333333331</v>
      </c>
      <c r="M626">
        <f>Table2[[#This Row],[STARTING INVENTORY]]-Table2[[#This Row],[ENDING INVENTORY]]</f>
        <v>19</v>
      </c>
    </row>
    <row r="627" spans="1:13">
      <c r="A627" t="s">
        <v>10</v>
      </c>
      <c r="B627" t="s">
        <v>162</v>
      </c>
      <c r="C627" t="s">
        <v>61</v>
      </c>
      <c r="D627" t="s">
        <v>29</v>
      </c>
      <c r="E627" s="3">
        <v>1.9</v>
      </c>
      <c r="F627" s="3">
        <v>1.8049999999999999</v>
      </c>
      <c r="G627">
        <v>2</v>
      </c>
      <c r="H627" s="3">
        <v>3.8</v>
      </c>
      <c r="I627">
        <v>27</v>
      </c>
      <c r="J627">
        <v>0</v>
      </c>
      <c r="K627">
        <v>27</v>
      </c>
      <c r="L627" s="13">
        <f>(Table2[[#This Row],[STARTING INVENTORY]]-Table2[[#This Row],[ENDING INVENTORY]])/(Table2[[#This Row],[STARTING INVENTORY]])</f>
        <v>0</v>
      </c>
      <c r="M627">
        <f>Table2[[#This Row],[STARTING INVENTORY]]-Table2[[#This Row],[ENDING INVENTORY]]</f>
        <v>0</v>
      </c>
    </row>
    <row r="628" spans="1:13">
      <c r="A628" t="s">
        <v>10</v>
      </c>
      <c r="B628" t="s">
        <v>162</v>
      </c>
      <c r="C628" t="s">
        <v>67</v>
      </c>
      <c r="D628" t="s">
        <v>29</v>
      </c>
      <c r="E628" s="3">
        <v>1.3</v>
      </c>
      <c r="F628" s="3">
        <v>1.2349999999999999</v>
      </c>
      <c r="G628">
        <v>2.04</v>
      </c>
      <c r="H628" s="3">
        <v>2.6520000000000001</v>
      </c>
      <c r="I628">
        <v>84</v>
      </c>
      <c r="J628">
        <v>5</v>
      </c>
      <c r="K628">
        <v>4</v>
      </c>
      <c r="L628" s="13">
        <f>(Table2[[#This Row],[STARTING INVENTORY]]-Table2[[#This Row],[ENDING INVENTORY]])/(Table2[[#This Row],[STARTING INVENTORY]])</f>
        <v>0.95238095238095233</v>
      </c>
      <c r="M628">
        <f>Table2[[#This Row],[STARTING INVENTORY]]-Table2[[#This Row],[ENDING INVENTORY]]</f>
        <v>80</v>
      </c>
    </row>
    <row r="629" spans="1:13">
      <c r="A629" t="s">
        <v>10</v>
      </c>
      <c r="B629" t="s">
        <v>162</v>
      </c>
      <c r="C629" t="s">
        <v>73</v>
      </c>
      <c r="D629" t="s">
        <v>29</v>
      </c>
      <c r="E629" s="3">
        <v>4</v>
      </c>
      <c r="F629" s="3">
        <v>3.8</v>
      </c>
      <c r="G629">
        <v>2.08</v>
      </c>
      <c r="H629" s="3">
        <v>8.32</v>
      </c>
      <c r="I629">
        <v>36</v>
      </c>
      <c r="J629">
        <v>7</v>
      </c>
      <c r="K629">
        <v>16</v>
      </c>
      <c r="L629" s="13">
        <f>(Table2[[#This Row],[STARTING INVENTORY]]-Table2[[#This Row],[ENDING INVENTORY]])/(Table2[[#This Row],[STARTING INVENTORY]])</f>
        <v>0.55555555555555558</v>
      </c>
      <c r="M629">
        <f>Table2[[#This Row],[STARTING INVENTORY]]-Table2[[#This Row],[ENDING INVENTORY]]</f>
        <v>20</v>
      </c>
    </row>
    <row r="630" spans="1:13">
      <c r="A630" t="s">
        <v>10</v>
      </c>
      <c r="B630" t="s">
        <v>162</v>
      </c>
      <c r="C630" t="s">
        <v>79</v>
      </c>
      <c r="D630" t="s">
        <v>29</v>
      </c>
      <c r="E630" s="3">
        <v>2.2000000000000002</v>
      </c>
      <c r="F630" s="3">
        <v>2.09</v>
      </c>
      <c r="G630">
        <v>2.0700000000000003</v>
      </c>
      <c r="H630" s="3">
        <v>4.5540000000000012</v>
      </c>
      <c r="I630">
        <v>90</v>
      </c>
      <c r="J630">
        <v>3</v>
      </c>
      <c r="K630">
        <v>55</v>
      </c>
      <c r="L630" s="13">
        <f>(Table2[[#This Row],[STARTING INVENTORY]]-Table2[[#This Row],[ENDING INVENTORY]])/(Table2[[#This Row],[STARTING INVENTORY]])</f>
        <v>0.3888888888888889</v>
      </c>
      <c r="M630">
        <f>Table2[[#This Row],[STARTING INVENTORY]]-Table2[[#This Row],[ENDING INVENTORY]]</f>
        <v>35</v>
      </c>
    </row>
    <row r="631" spans="1:13">
      <c r="A631" t="s">
        <v>10</v>
      </c>
      <c r="B631" t="s">
        <v>162</v>
      </c>
      <c r="C631" t="s">
        <v>85</v>
      </c>
      <c r="D631" t="s">
        <v>29</v>
      </c>
      <c r="E631" s="3">
        <v>2.75</v>
      </c>
      <c r="F631" s="3">
        <v>2.6124999999999998</v>
      </c>
      <c r="G631">
        <v>2.02</v>
      </c>
      <c r="H631" s="3">
        <v>5.5549999999999997</v>
      </c>
      <c r="I631">
        <v>64</v>
      </c>
      <c r="J631">
        <v>8</v>
      </c>
      <c r="K631">
        <v>19</v>
      </c>
      <c r="L631" s="13">
        <f>(Table2[[#This Row],[STARTING INVENTORY]]-Table2[[#This Row],[ENDING INVENTORY]])/(Table2[[#This Row],[STARTING INVENTORY]])</f>
        <v>0.703125</v>
      </c>
      <c r="M631">
        <f>Table2[[#This Row],[STARTING INVENTORY]]-Table2[[#This Row],[ENDING INVENTORY]]</f>
        <v>45</v>
      </c>
    </row>
    <row r="632" spans="1:13">
      <c r="A632" t="s">
        <v>10</v>
      </c>
      <c r="B632" t="s">
        <v>162</v>
      </c>
      <c r="C632" t="s">
        <v>91</v>
      </c>
      <c r="D632" t="s">
        <v>29</v>
      </c>
      <c r="E632" s="3">
        <v>3.5</v>
      </c>
      <c r="F632" s="3">
        <v>3.3249999999999997</v>
      </c>
      <c r="G632">
        <v>2.06</v>
      </c>
      <c r="H632" s="3">
        <v>7.21</v>
      </c>
      <c r="I632">
        <v>23</v>
      </c>
      <c r="J632">
        <v>5</v>
      </c>
      <c r="K632">
        <v>8</v>
      </c>
      <c r="L632" s="13">
        <f>(Table2[[#This Row],[STARTING INVENTORY]]-Table2[[#This Row],[ENDING INVENTORY]])/(Table2[[#This Row],[STARTING INVENTORY]])</f>
        <v>0.65217391304347827</v>
      </c>
      <c r="M632">
        <f>Table2[[#This Row],[STARTING INVENTORY]]-Table2[[#This Row],[ENDING INVENTORY]]</f>
        <v>15</v>
      </c>
    </row>
    <row r="633" spans="1:13">
      <c r="A633" t="s">
        <v>10</v>
      </c>
      <c r="B633" t="s">
        <v>162</v>
      </c>
      <c r="C633" t="s">
        <v>97</v>
      </c>
      <c r="D633" t="s">
        <v>29</v>
      </c>
      <c r="E633" s="3">
        <v>8</v>
      </c>
      <c r="F633" s="3">
        <v>7.6</v>
      </c>
      <c r="G633">
        <v>2.08</v>
      </c>
      <c r="H633" s="3">
        <v>16.64</v>
      </c>
      <c r="I633">
        <v>55</v>
      </c>
      <c r="J633">
        <v>3</v>
      </c>
      <c r="K633">
        <v>45</v>
      </c>
      <c r="L633" s="13">
        <f>(Table2[[#This Row],[STARTING INVENTORY]]-Table2[[#This Row],[ENDING INVENTORY]])/(Table2[[#This Row],[STARTING INVENTORY]])</f>
        <v>0.18181818181818182</v>
      </c>
      <c r="M633">
        <f>Table2[[#This Row],[STARTING INVENTORY]]-Table2[[#This Row],[ENDING INVENTORY]]</f>
        <v>10</v>
      </c>
    </row>
    <row r="634" spans="1:13">
      <c r="A634" t="s">
        <v>10</v>
      </c>
      <c r="B634" t="s">
        <v>162</v>
      </c>
      <c r="C634" t="s">
        <v>103</v>
      </c>
      <c r="D634" t="s">
        <v>29</v>
      </c>
      <c r="E634" s="3">
        <v>7</v>
      </c>
      <c r="F634" s="3">
        <v>6.6499999999999995</v>
      </c>
      <c r="G634">
        <v>1.95</v>
      </c>
      <c r="H634" s="3">
        <v>13.65</v>
      </c>
      <c r="I634">
        <v>89</v>
      </c>
      <c r="J634">
        <v>2</v>
      </c>
      <c r="K634">
        <v>11</v>
      </c>
      <c r="L634" s="13">
        <f>(Table2[[#This Row],[STARTING INVENTORY]]-Table2[[#This Row],[ENDING INVENTORY]])/(Table2[[#This Row],[STARTING INVENTORY]])</f>
        <v>0.8764044943820225</v>
      </c>
      <c r="M634">
        <f>Table2[[#This Row],[STARTING INVENTORY]]-Table2[[#This Row],[ENDING INVENTORY]]</f>
        <v>78</v>
      </c>
    </row>
    <row r="635" spans="1:13">
      <c r="A635" t="s">
        <v>10</v>
      </c>
      <c r="B635" t="s">
        <v>162</v>
      </c>
      <c r="C635" t="s">
        <v>109</v>
      </c>
      <c r="D635" t="s">
        <v>29</v>
      </c>
      <c r="E635" s="3">
        <v>1.8</v>
      </c>
      <c r="F635" s="3">
        <v>1.71</v>
      </c>
      <c r="G635">
        <v>2.0499999999999998</v>
      </c>
      <c r="H635" s="3">
        <v>3.69</v>
      </c>
      <c r="I635">
        <v>50</v>
      </c>
      <c r="J635">
        <v>1</v>
      </c>
      <c r="K635">
        <v>5</v>
      </c>
      <c r="L635" s="13">
        <f>(Table2[[#This Row],[STARTING INVENTORY]]-Table2[[#This Row],[ENDING INVENTORY]])/(Table2[[#This Row],[STARTING INVENTORY]])</f>
        <v>0.9</v>
      </c>
      <c r="M635">
        <f>Table2[[#This Row],[STARTING INVENTORY]]-Table2[[#This Row],[ENDING INVENTORY]]</f>
        <v>45</v>
      </c>
    </row>
    <row r="636" spans="1:13">
      <c r="A636" t="s">
        <v>10</v>
      </c>
      <c r="B636" t="s">
        <v>162</v>
      </c>
      <c r="C636" t="s">
        <v>115</v>
      </c>
      <c r="D636" t="s">
        <v>29</v>
      </c>
      <c r="E636" s="3">
        <v>9</v>
      </c>
      <c r="F636" s="3">
        <v>8.5499999999999989</v>
      </c>
      <c r="G636">
        <v>2</v>
      </c>
      <c r="H636" s="3">
        <v>18</v>
      </c>
      <c r="I636">
        <v>38</v>
      </c>
      <c r="J636">
        <v>0</v>
      </c>
      <c r="K636">
        <v>16</v>
      </c>
      <c r="L636" s="13">
        <f>(Table2[[#This Row],[STARTING INVENTORY]]-Table2[[#This Row],[ENDING INVENTORY]])/(Table2[[#This Row],[STARTING INVENTORY]])</f>
        <v>0.57894736842105265</v>
      </c>
      <c r="M636">
        <f>Table2[[#This Row],[STARTING INVENTORY]]-Table2[[#This Row],[ENDING INVENTORY]]</f>
        <v>22</v>
      </c>
    </row>
    <row r="637" spans="1:13">
      <c r="A637" t="s">
        <v>10</v>
      </c>
      <c r="B637" t="s">
        <v>162</v>
      </c>
      <c r="C637" t="s">
        <v>121</v>
      </c>
      <c r="D637" t="s">
        <v>29</v>
      </c>
      <c r="E637" s="3">
        <v>0.95</v>
      </c>
      <c r="F637" s="3">
        <v>0.90249999999999997</v>
      </c>
      <c r="G637">
        <v>2.0300000000000002</v>
      </c>
      <c r="H637" s="3">
        <v>1.9285000000000001</v>
      </c>
      <c r="I637">
        <v>80</v>
      </c>
      <c r="J637">
        <v>3</v>
      </c>
      <c r="K637">
        <v>18</v>
      </c>
      <c r="L637" s="13">
        <f>(Table2[[#This Row],[STARTING INVENTORY]]-Table2[[#This Row],[ENDING INVENTORY]])/(Table2[[#This Row],[STARTING INVENTORY]])</f>
        <v>0.77500000000000002</v>
      </c>
      <c r="M637">
        <f>Table2[[#This Row],[STARTING INVENTORY]]-Table2[[#This Row],[ENDING INVENTORY]]</f>
        <v>62</v>
      </c>
    </row>
    <row r="638" spans="1:13">
      <c r="A638" t="s">
        <v>10</v>
      </c>
      <c r="B638" t="s">
        <v>162</v>
      </c>
      <c r="C638" t="s">
        <v>127</v>
      </c>
      <c r="D638" t="s">
        <v>29</v>
      </c>
      <c r="E638" s="3">
        <v>1.85</v>
      </c>
      <c r="F638" s="3">
        <v>1.7575000000000001</v>
      </c>
      <c r="G638">
        <v>1.97</v>
      </c>
      <c r="H638" s="3">
        <v>3.6445000000000003</v>
      </c>
      <c r="I638">
        <v>73</v>
      </c>
      <c r="J638">
        <v>1</v>
      </c>
      <c r="K638">
        <v>25</v>
      </c>
      <c r="L638" s="13">
        <f>(Table2[[#This Row],[STARTING INVENTORY]]-Table2[[#This Row],[ENDING INVENTORY]])/(Table2[[#This Row],[STARTING INVENTORY]])</f>
        <v>0.65753424657534243</v>
      </c>
      <c r="M638">
        <f>Table2[[#This Row],[STARTING INVENTORY]]-Table2[[#This Row],[ENDING INVENTORY]]</f>
        <v>48</v>
      </c>
    </row>
    <row r="639" spans="1:13">
      <c r="A639" t="s">
        <v>10</v>
      </c>
      <c r="B639" t="s">
        <v>162</v>
      </c>
      <c r="C639" t="s">
        <v>133</v>
      </c>
      <c r="D639" t="s">
        <v>29</v>
      </c>
      <c r="E639" s="3">
        <v>5.5</v>
      </c>
      <c r="F639" s="3">
        <v>5.2249999999999996</v>
      </c>
      <c r="G639">
        <v>2.1</v>
      </c>
      <c r="H639" s="3">
        <v>11.55</v>
      </c>
      <c r="I639">
        <v>58</v>
      </c>
      <c r="J639">
        <v>6</v>
      </c>
      <c r="K639">
        <v>47</v>
      </c>
      <c r="L639" s="13">
        <f>(Table2[[#This Row],[STARTING INVENTORY]]-Table2[[#This Row],[ENDING INVENTORY]])/(Table2[[#This Row],[STARTING INVENTORY]])</f>
        <v>0.18965517241379309</v>
      </c>
      <c r="M639">
        <f>Table2[[#This Row],[STARTING INVENTORY]]-Table2[[#This Row],[ENDING INVENTORY]]</f>
        <v>11</v>
      </c>
    </row>
    <row r="640" spans="1:13">
      <c r="A640" t="s">
        <v>10</v>
      </c>
      <c r="B640" t="s">
        <v>162</v>
      </c>
      <c r="C640" t="s">
        <v>139</v>
      </c>
      <c r="D640" t="s">
        <v>29</v>
      </c>
      <c r="E640" s="3">
        <v>1.9</v>
      </c>
      <c r="F640" s="3">
        <v>1.8049999999999999</v>
      </c>
      <c r="G640">
        <v>2.0700000000000003</v>
      </c>
      <c r="H640" s="3">
        <v>3.9330000000000003</v>
      </c>
      <c r="I640">
        <v>93</v>
      </c>
      <c r="J640">
        <v>10</v>
      </c>
      <c r="K640">
        <v>51</v>
      </c>
      <c r="L640" s="13">
        <f>(Table2[[#This Row],[STARTING INVENTORY]]-Table2[[#This Row],[ENDING INVENTORY]])/(Table2[[#This Row],[STARTING INVENTORY]])</f>
        <v>0.45161290322580644</v>
      </c>
      <c r="M640">
        <f>Table2[[#This Row],[STARTING INVENTORY]]-Table2[[#This Row],[ENDING INVENTORY]]</f>
        <v>42</v>
      </c>
    </row>
    <row r="641" spans="1:13">
      <c r="A641" t="s">
        <v>10</v>
      </c>
      <c r="B641" t="s">
        <v>162</v>
      </c>
      <c r="C641" t="s">
        <v>145</v>
      </c>
      <c r="D641" t="s">
        <v>29</v>
      </c>
      <c r="E641" s="3">
        <v>2.75</v>
      </c>
      <c r="F641" s="3">
        <v>2.6124999999999998</v>
      </c>
      <c r="G641">
        <v>2.0700000000000003</v>
      </c>
      <c r="H641" s="3">
        <v>5.6925000000000008</v>
      </c>
      <c r="I641">
        <v>38</v>
      </c>
      <c r="J641">
        <v>4</v>
      </c>
      <c r="K641">
        <v>31</v>
      </c>
      <c r="L641" s="13">
        <f>(Table2[[#This Row],[STARTING INVENTORY]]-Table2[[#This Row],[ENDING INVENTORY]])/(Table2[[#This Row],[STARTING INVENTORY]])</f>
        <v>0.18421052631578946</v>
      </c>
      <c r="M641">
        <f>Table2[[#This Row],[STARTING INVENTORY]]-Table2[[#This Row],[ENDING INVENTORY]]</f>
        <v>7</v>
      </c>
    </row>
    <row r="642" spans="1:13">
      <c r="A642" t="s">
        <v>10</v>
      </c>
      <c r="B642" t="s">
        <v>163</v>
      </c>
      <c r="C642" t="s">
        <v>32</v>
      </c>
      <c r="D642" t="s">
        <v>33</v>
      </c>
      <c r="E642" s="3">
        <v>3.25</v>
      </c>
      <c r="F642" s="3">
        <v>3.0874999999999999</v>
      </c>
      <c r="G642">
        <v>2.0499999999999998</v>
      </c>
      <c r="H642" s="3">
        <v>6.6624999999999996</v>
      </c>
      <c r="I642">
        <v>88</v>
      </c>
      <c r="J642">
        <v>0</v>
      </c>
      <c r="K642">
        <v>69</v>
      </c>
      <c r="L642" s="13">
        <f>(Table2[[#This Row],[STARTING INVENTORY]]-Table2[[#This Row],[ENDING INVENTORY]])/(Table2[[#This Row],[STARTING INVENTORY]])</f>
        <v>0.21590909090909091</v>
      </c>
      <c r="M642">
        <f>Table2[[#This Row],[STARTING INVENTORY]]-Table2[[#This Row],[ENDING INVENTORY]]</f>
        <v>19</v>
      </c>
    </row>
    <row r="643" spans="1:13">
      <c r="A643" t="s">
        <v>10</v>
      </c>
      <c r="B643" t="s">
        <v>163</v>
      </c>
      <c r="C643" t="s">
        <v>39</v>
      </c>
      <c r="D643" t="s">
        <v>33</v>
      </c>
      <c r="E643" s="3">
        <v>0.9</v>
      </c>
      <c r="F643" s="3">
        <v>0.85499999999999998</v>
      </c>
      <c r="G643">
        <v>2.02</v>
      </c>
      <c r="H643" s="3">
        <v>1.8180000000000001</v>
      </c>
      <c r="I643">
        <v>116</v>
      </c>
      <c r="J643">
        <v>1</v>
      </c>
      <c r="K643">
        <v>54</v>
      </c>
      <c r="L643" s="13">
        <f>(Table2[[#This Row],[STARTING INVENTORY]]-Table2[[#This Row],[ENDING INVENTORY]])/(Table2[[#This Row],[STARTING INVENTORY]])</f>
        <v>0.53448275862068961</v>
      </c>
      <c r="M643">
        <f>Table2[[#This Row],[STARTING INVENTORY]]-Table2[[#This Row],[ENDING INVENTORY]]</f>
        <v>62</v>
      </c>
    </row>
    <row r="644" spans="1:13">
      <c r="A644" t="s">
        <v>10</v>
      </c>
      <c r="B644" t="s">
        <v>163</v>
      </c>
      <c r="C644" t="s">
        <v>45</v>
      </c>
      <c r="D644" t="s">
        <v>33</v>
      </c>
      <c r="E644" s="3">
        <v>1.6</v>
      </c>
      <c r="F644" s="3">
        <v>1.52</v>
      </c>
      <c r="G644">
        <v>2.02</v>
      </c>
      <c r="H644" s="3">
        <v>3.2320000000000002</v>
      </c>
      <c r="I644">
        <v>94</v>
      </c>
      <c r="J644">
        <v>0</v>
      </c>
      <c r="K644">
        <v>74</v>
      </c>
      <c r="L644" s="13">
        <f>(Table2[[#This Row],[STARTING INVENTORY]]-Table2[[#This Row],[ENDING INVENTORY]])/(Table2[[#This Row],[STARTING INVENTORY]])</f>
        <v>0.21276595744680851</v>
      </c>
      <c r="M644">
        <f>Table2[[#This Row],[STARTING INVENTORY]]-Table2[[#This Row],[ENDING INVENTORY]]</f>
        <v>20</v>
      </c>
    </row>
    <row r="645" spans="1:13">
      <c r="A645" t="s">
        <v>10</v>
      </c>
      <c r="B645" t="s">
        <v>163</v>
      </c>
      <c r="C645" t="s">
        <v>51</v>
      </c>
      <c r="D645" t="s">
        <v>33</v>
      </c>
      <c r="E645" s="3">
        <v>1.1000000000000001</v>
      </c>
      <c r="F645" s="3">
        <v>1.0449999999999999</v>
      </c>
      <c r="G645">
        <v>2.0099999999999998</v>
      </c>
      <c r="H645" s="3">
        <v>2.2109999999999999</v>
      </c>
      <c r="I645">
        <v>62</v>
      </c>
      <c r="J645">
        <v>3</v>
      </c>
      <c r="K645">
        <v>32</v>
      </c>
      <c r="L645" s="13">
        <f>(Table2[[#This Row],[STARTING INVENTORY]]-Table2[[#This Row],[ENDING INVENTORY]])/(Table2[[#This Row],[STARTING INVENTORY]])</f>
        <v>0.4838709677419355</v>
      </c>
      <c r="M645">
        <f>Table2[[#This Row],[STARTING INVENTORY]]-Table2[[#This Row],[ENDING INVENTORY]]</f>
        <v>30</v>
      </c>
    </row>
    <row r="646" spans="1:13">
      <c r="A646" t="s">
        <v>10</v>
      </c>
      <c r="B646" t="s">
        <v>163</v>
      </c>
      <c r="C646" t="s">
        <v>57</v>
      </c>
      <c r="D646" t="s">
        <v>33</v>
      </c>
      <c r="E646" s="3">
        <v>0.95</v>
      </c>
      <c r="F646" s="3">
        <v>0.90249999999999997</v>
      </c>
      <c r="G646">
        <v>2.04</v>
      </c>
      <c r="H646" s="3">
        <v>1.9379999999999999</v>
      </c>
      <c r="I646">
        <v>141</v>
      </c>
      <c r="J646">
        <v>4</v>
      </c>
      <c r="K646">
        <v>81</v>
      </c>
      <c r="L646" s="13">
        <f>(Table2[[#This Row],[STARTING INVENTORY]]-Table2[[#This Row],[ENDING INVENTORY]])/(Table2[[#This Row],[STARTING INVENTORY]])</f>
        <v>0.42553191489361702</v>
      </c>
      <c r="M646">
        <f>Table2[[#This Row],[STARTING INVENTORY]]-Table2[[#This Row],[ENDING INVENTORY]]</f>
        <v>60</v>
      </c>
    </row>
    <row r="647" spans="1:13">
      <c r="A647" t="s">
        <v>10</v>
      </c>
      <c r="B647" t="s">
        <v>163</v>
      </c>
      <c r="C647" t="s">
        <v>63</v>
      </c>
      <c r="D647" t="s">
        <v>33</v>
      </c>
      <c r="E647" s="3">
        <v>2.75</v>
      </c>
      <c r="F647" s="3">
        <v>2.6124999999999998</v>
      </c>
      <c r="G647">
        <v>2.06</v>
      </c>
      <c r="H647" s="3">
        <v>5.665</v>
      </c>
      <c r="I647">
        <v>107</v>
      </c>
      <c r="J647">
        <v>7</v>
      </c>
      <c r="K647">
        <v>91</v>
      </c>
      <c r="L647" s="13">
        <f>(Table2[[#This Row],[STARTING INVENTORY]]-Table2[[#This Row],[ENDING INVENTORY]])/(Table2[[#This Row],[STARTING INVENTORY]])</f>
        <v>0.14953271028037382</v>
      </c>
      <c r="M647">
        <f>Table2[[#This Row],[STARTING INVENTORY]]-Table2[[#This Row],[ENDING INVENTORY]]</f>
        <v>16</v>
      </c>
    </row>
    <row r="648" spans="1:13">
      <c r="A648" t="s">
        <v>10</v>
      </c>
      <c r="B648" t="s">
        <v>163</v>
      </c>
      <c r="C648" t="s">
        <v>69</v>
      </c>
      <c r="D648" t="s">
        <v>33</v>
      </c>
      <c r="E648" s="3">
        <v>1.9</v>
      </c>
      <c r="F648" s="3">
        <v>1.8049999999999999</v>
      </c>
      <c r="G648">
        <v>2.0700000000000003</v>
      </c>
      <c r="H648" s="3">
        <v>3.9330000000000003</v>
      </c>
      <c r="I648">
        <v>69</v>
      </c>
      <c r="J648">
        <v>1</v>
      </c>
      <c r="K648">
        <v>50</v>
      </c>
      <c r="L648" s="13">
        <f>(Table2[[#This Row],[STARTING INVENTORY]]-Table2[[#This Row],[ENDING INVENTORY]])/(Table2[[#This Row],[STARTING INVENTORY]])</f>
        <v>0.27536231884057971</v>
      </c>
      <c r="M648">
        <f>Table2[[#This Row],[STARTING INVENTORY]]-Table2[[#This Row],[ENDING INVENTORY]]</f>
        <v>19</v>
      </c>
    </row>
    <row r="649" spans="1:13">
      <c r="A649" t="s">
        <v>10</v>
      </c>
      <c r="B649" t="s">
        <v>163</v>
      </c>
      <c r="C649" t="s">
        <v>75</v>
      </c>
      <c r="D649" t="s">
        <v>33</v>
      </c>
      <c r="E649" s="3">
        <v>4</v>
      </c>
      <c r="F649" s="3">
        <v>3.8</v>
      </c>
      <c r="G649">
        <v>2</v>
      </c>
      <c r="H649" s="3">
        <v>8</v>
      </c>
      <c r="I649">
        <v>141</v>
      </c>
      <c r="J649">
        <v>7</v>
      </c>
      <c r="K649">
        <v>3</v>
      </c>
      <c r="L649" s="13">
        <f>(Table2[[#This Row],[STARTING INVENTORY]]-Table2[[#This Row],[ENDING INVENTORY]])/(Table2[[#This Row],[STARTING INVENTORY]])</f>
        <v>0.97872340425531912</v>
      </c>
      <c r="M649">
        <f>Table2[[#This Row],[STARTING INVENTORY]]-Table2[[#This Row],[ENDING INVENTORY]]</f>
        <v>138</v>
      </c>
    </row>
    <row r="650" spans="1:13">
      <c r="A650" t="s">
        <v>10</v>
      </c>
      <c r="B650" t="s">
        <v>163</v>
      </c>
      <c r="C650" t="s">
        <v>81</v>
      </c>
      <c r="D650" t="s">
        <v>33</v>
      </c>
      <c r="E650" s="3">
        <v>0.8</v>
      </c>
      <c r="F650" s="3">
        <v>0.76</v>
      </c>
      <c r="G650">
        <v>2.08</v>
      </c>
      <c r="H650" s="3">
        <v>1.6640000000000001</v>
      </c>
      <c r="I650">
        <v>121</v>
      </c>
      <c r="J650">
        <v>6</v>
      </c>
      <c r="K650">
        <v>6</v>
      </c>
      <c r="L650" s="13">
        <f>(Table2[[#This Row],[STARTING INVENTORY]]-Table2[[#This Row],[ENDING INVENTORY]])/(Table2[[#This Row],[STARTING INVENTORY]])</f>
        <v>0.95041322314049592</v>
      </c>
      <c r="M650">
        <f>Table2[[#This Row],[STARTING INVENTORY]]-Table2[[#This Row],[ENDING INVENTORY]]</f>
        <v>115</v>
      </c>
    </row>
    <row r="651" spans="1:13">
      <c r="A651" t="s">
        <v>10</v>
      </c>
      <c r="B651" t="s">
        <v>163</v>
      </c>
      <c r="C651" t="s">
        <v>87</v>
      </c>
      <c r="D651" t="s">
        <v>33</v>
      </c>
      <c r="E651" s="3">
        <v>4.25</v>
      </c>
      <c r="F651" s="3">
        <v>4.0374999999999996</v>
      </c>
      <c r="G651">
        <v>2.09</v>
      </c>
      <c r="H651" s="3">
        <v>8.8825000000000003</v>
      </c>
      <c r="I651">
        <v>110</v>
      </c>
      <c r="J651">
        <v>1</v>
      </c>
      <c r="K651">
        <v>108</v>
      </c>
      <c r="L651" s="13">
        <f>(Table2[[#This Row],[STARTING INVENTORY]]-Table2[[#This Row],[ENDING INVENTORY]])/(Table2[[#This Row],[STARTING INVENTORY]])</f>
        <v>1.8181818181818181E-2</v>
      </c>
      <c r="M651">
        <f>Table2[[#This Row],[STARTING INVENTORY]]-Table2[[#This Row],[ENDING INVENTORY]]</f>
        <v>2</v>
      </c>
    </row>
    <row r="652" spans="1:13">
      <c r="A652" t="s">
        <v>10</v>
      </c>
      <c r="B652" t="s">
        <v>163</v>
      </c>
      <c r="C652" t="s">
        <v>93</v>
      </c>
      <c r="D652" t="s">
        <v>33</v>
      </c>
      <c r="E652" s="3">
        <v>1.6</v>
      </c>
      <c r="F652" s="3">
        <v>1.52</v>
      </c>
      <c r="G652">
        <v>2</v>
      </c>
      <c r="H652" s="3">
        <v>3.2</v>
      </c>
      <c r="I652">
        <v>154</v>
      </c>
      <c r="J652">
        <v>6</v>
      </c>
      <c r="K652">
        <v>47</v>
      </c>
      <c r="L652" s="13">
        <f>(Table2[[#This Row],[STARTING INVENTORY]]-Table2[[#This Row],[ENDING INVENTORY]])/(Table2[[#This Row],[STARTING INVENTORY]])</f>
        <v>0.69480519480519476</v>
      </c>
      <c r="M652">
        <f>Table2[[#This Row],[STARTING INVENTORY]]-Table2[[#This Row],[ENDING INVENTORY]]</f>
        <v>107</v>
      </c>
    </row>
    <row r="653" spans="1:13">
      <c r="A653" t="s">
        <v>10</v>
      </c>
      <c r="B653" t="s">
        <v>163</v>
      </c>
      <c r="C653" t="s">
        <v>99</v>
      </c>
      <c r="D653" t="s">
        <v>33</v>
      </c>
      <c r="E653" s="3">
        <v>1.65</v>
      </c>
      <c r="F653" s="3">
        <v>1.5674999999999999</v>
      </c>
      <c r="G653">
        <v>1.99</v>
      </c>
      <c r="H653" s="3">
        <v>3.2834999999999996</v>
      </c>
      <c r="I653">
        <v>88</v>
      </c>
      <c r="J653">
        <v>1</v>
      </c>
      <c r="K653">
        <v>72</v>
      </c>
      <c r="L653" s="13">
        <f>(Table2[[#This Row],[STARTING INVENTORY]]-Table2[[#This Row],[ENDING INVENTORY]])/(Table2[[#This Row],[STARTING INVENTORY]])</f>
        <v>0.18181818181818182</v>
      </c>
      <c r="M653">
        <f>Table2[[#This Row],[STARTING INVENTORY]]-Table2[[#This Row],[ENDING INVENTORY]]</f>
        <v>16</v>
      </c>
    </row>
    <row r="654" spans="1:13">
      <c r="A654" t="s">
        <v>10</v>
      </c>
      <c r="B654" t="s">
        <v>163</v>
      </c>
      <c r="C654" t="s">
        <v>105</v>
      </c>
      <c r="D654" t="s">
        <v>33</v>
      </c>
      <c r="E654" s="3">
        <v>2.2000000000000002</v>
      </c>
      <c r="F654" s="3">
        <v>2.09</v>
      </c>
      <c r="G654">
        <v>2</v>
      </c>
      <c r="H654" s="3">
        <v>4.4000000000000004</v>
      </c>
      <c r="I654">
        <v>50</v>
      </c>
      <c r="J654">
        <v>1</v>
      </c>
      <c r="K654">
        <v>7</v>
      </c>
      <c r="L654" s="13">
        <f>(Table2[[#This Row],[STARTING INVENTORY]]-Table2[[#This Row],[ENDING INVENTORY]])/(Table2[[#This Row],[STARTING INVENTORY]])</f>
        <v>0.86</v>
      </c>
      <c r="M654">
        <f>Table2[[#This Row],[STARTING INVENTORY]]-Table2[[#This Row],[ENDING INVENTORY]]</f>
        <v>43</v>
      </c>
    </row>
    <row r="655" spans="1:13">
      <c r="A655" t="s">
        <v>10</v>
      </c>
      <c r="B655" t="s">
        <v>163</v>
      </c>
      <c r="C655" t="s">
        <v>111</v>
      </c>
      <c r="D655" t="s">
        <v>33</v>
      </c>
      <c r="E655" s="3">
        <v>4</v>
      </c>
      <c r="F655" s="3">
        <v>3.8</v>
      </c>
      <c r="G655">
        <v>1.97</v>
      </c>
      <c r="H655" s="3">
        <v>7.88</v>
      </c>
      <c r="I655">
        <v>52</v>
      </c>
      <c r="J655">
        <v>3</v>
      </c>
      <c r="K655">
        <v>44</v>
      </c>
      <c r="L655" s="13">
        <f>(Table2[[#This Row],[STARTING INVENTORY]]-Table2[[#This Row],[ENDING INVENTORY]])/(Table2[[#This Row],[STARTING INVENTORY]])</f>
        <v>0.15384615384615385</v>
      </c>
      <c r="M655">
        <f>Table2[[#This Row],[STARTING INVENTORY]]-Table2[[#This Row],[ENDING INVENTORY]]</f>
        <v>8</v>
      </c>
    </row>
    <row r="656" spans="1:13">
      <c r="A656" t="s">
        <v>10</v>
      </c>
      <c r="B656" t="s">
        <v>163</v>
      </c>
      <c r="C656" t="s">
        <v>117</v>
      </c>
      <c r="D656" t="s">
        <v>33</v>
      </c>
      <c r="E656" s="3">
        <v>5.25</v>
      </c>
      <c r="F656" s="3">
        <v>4.9874999999999998</v>
      </c>
      <c r="G656">
        <v>2.0499999999999998</v>
      </c>
      <c r="H656" s="3">
        <v>10.762499999999999</v>
      </c>
      <c r="I656">
        <v>126</v>
      </c>
      <c r="J656">
        <v>1</v>
      </c>
      <c r="K656">
        <v>80</v>
      </c>
      <c r="L656" s="13">
        <f>(Table2[[#This Row],[STARTING INVENTORY]]-Table2[[#This Row],[ENDING INVENTORY]])/(Table2[[#This Row],[STARTING INVENTORY]])</f>
        <v>0.36507936507936506</v>
      </c>
      <c r="M656">
        <f>Table2[[#This Row],[STARTING INVENTORY]]-Table2[[#This Row],[ENDING INVENTORY]]</f>
        <v>46</v>
      </c>
    </row>
    <row r="657" spans="1:13">
      <c r="A657" t="s">
        <v>10</v>
      </c>
      <c r="B657" t="s">
        <v>163</v>
      </c>
      <c r="C657" t="s">
        <v>123</v>
      </c>
      <c r="D657" t="s">
        <v>33</v>
      </c>
      <c r="E657" s="3">
        <v>2</v>
      </c>
      <c r="F657" s="3">
        <v>1.9</v>
      </c>
      <c r="G657">
        <v>1.99</v>
      </c>
      <c r="H657" s="3">
        <v>3.98</v>
      </c>
      <c r="I657">
        <v>141</v>
      </c>
      <c r="J657">
        <v>3</v>
      </c>
      <c r="K657">
        <v>80</v>
      </c>
      <c r="L657" s="13">
        <f>(Table2[[#This Row],[STARTING INVENTORY]]-Table2[[#This Row],[ENDING INVENTORY]])/(Table2[[#This Row],[STARTING INVENTORY]])</f>
        <v>0.43262411347517732</v>
      </c>
      <c r="M657">
        <f>Table2[[#This Row],[STARTING INVENTORY]]-Table2[[#This Row],[ENDING INVENTORY]]</f>
        <v>61</v>
      </c>
    </row>
    <row r="658" spans="1:13">
      <c r="A658" t="s">
        <v>10</v>
      </c>
      <c r="B658" t="s">
        <v>163</v>
      </c>
      <c r="C658" t="s">
        <v>129</v>
      </c>
      <c r="D658" t="s">
        <v>33</v>
      </c>
      <c r="E658" s="3">
        <v>2.8</v>
      </c>
      <c r="F658" s="3">
        <v>2.6599999999999997</v>
      </c>
      <c r="G658">
        <v>2.0700000000000003</v>
      </c>
      <c r="H658" s="3">
        <v>5.7960000000000003</v>
      </c>
      <c r="I658">
        <v>111</v>
      </c>
      <c r="J658">
        <v>3</v>
      </c>
      <c r="K658">
        <v>96</v>
      </c>
      <c r="L658" s="13">
        <f>(Table2[[#This Row],[STARTING INVENTORY]]-Table2[[#This Row],[ENDING INVENTORY]])/(Table2[[#This Row],[STARTING INVENTORY]])</f>
        <v>0.13513513513513514</v>
      </c>
      <c r="M658">
        <f>Table2[[#This Row],[STARTING INVENTORY]]-Table2[[#This Row],[ENDING INVENTORY]]</f>
        <v>15</v>
      </c>
    </row>
    <row r="659" spans="1:13">
      <c r="A659" t="s">
        <v>10</v>
      </c>
      <c r="B659" t="s">
        <v>163</v>
      </c>
      <c r="C659" t="s">
        <v>135</v>
      </c>
      <c r="D659" t="s">
        <v>33</v>
      </c>
      <c r="E659" s="3">
        <v>1.35</v>
      </c>
      <c r="F659" s="3">
        <v>1.2825</v>
      </c>
      <c r="G659">
        <v>2.04</v>
      </c>
      <c r="H659" s="3">
        <v>2.7540000000000004</v>
      </c>
      <c r="I659">
        <v>112</v>
      </c>
      <c r="J659">
        <v>2</v>
      </c>
      <c r="K659">
        <v>95</v>
      </c>
      <c r="L659" s="13">
        <f>(Table2[[#This Row],[STARTING INVENTORY]]-Table2[[#This Row],[ENDING INVENTORY]])/(Table2[[#This Row],[STARTING INVENTORY]])</f>
        <v>0.15178571428571427</v>
      </c>
      <c r="M659">
        <f>Table2[[#This Row],[STARTING INVENTORY]]-Table2[[#This Row],[ENDING INVENTORY]]</f>
        <v>17</v>
      </c>
    </row>
    <row r="660" spans="1:13">
      <c r="A660" t="s">
        <v>10</v>
      </c>
      <c r="B660" t="s">
        <v>163</v>
      </c>
      <c r="C660" t="s">
        <v>141</v>
      </c>
      <c r="D660" t="s">
        <v>33</v>
      </c>
      <c r="E660" s="3">
        <v>2.25</v>
      </c>
      <c r="F660" s="3">
        <v>2.1374999999999997</v>
      </c>
      <c r="G660">
        <v>2.0700000000000003</v>
      </c>
      <c r="H660" s="3">
        <v>4.6575000000000006</v>
      </c>
      <c r="I660">
        <v>74</v>
      </c>
      <c r="J660">
        <v>1</v>
      </c>
      <c r="K660">
        <v>71</v>
      </c>
      <c r="L660" s="13">
        <f>(Table2[[#This Row],[STARTING INVENTORY]]-Table2[[#This Row],[ENDING INVENTORY]])/(Table2[[#This Row],[STARTING INVENTORY]])</f>
        <v>4.0540540540540543E-2</v>
      </c>
      <c r="M660">
        <f>Table2[[#This Row],[STARTING INVENTORY]]-Table2[[#This Row],[ENDING INVENTORY]]</f>
        <v>3</v>
      </c>
    </row>
    <row r="661" spans="1:13">
      <c r="A661" t="s">
        <v>10</v>
      </c>
      <c r="B661" t="s">
        <v>163</v>
      </c>
      <c r="C661" t="s">
        <v>147</v>
      </c>
      <c r="D661" t="s">
        <v>33</v>
      </c>
      <c r="E661" s="3">
        <v>2.8</v>
      </c>
      <c r="F661" s="3">
        <v>2.6599999999999997</v>
      </c>
      <c r="G661">
        <v>2.02</v>
      </c>
      <c r="H661" s="3">
        <v>5.6559999999999997</v>
      </c>
      <c r="I661">
        <v>105</v>
      </c>
      <c r="J661">
        <v>2</v>
      </c>
      <c r="K661">
        <v>18</v>
      </c>
      <c r="L661" s="13">
        <f>(Table2[[#This Row],[STARTING INVENTORY]]-Table2[[#This Row],[ENDING INVENTORY]])/(Table2[[#This Row],[STARTING INVENTORY]])</f>
        <v>0.82857142857142863</v>
      </c>
      <c r="M661">
        <f>Table2[[#This Row],[STARTING INVENTORY]]-Table2[[#This Row],[ENDING INVENTORY]]</f>
        <v>87</v>
      </c>
    </row>
    <row r="662" spans="1:13">
      <c r="A662" t="s">
        <v>10</v>
      </c>
      <c r="B662" t="s">
        <v>164</v>
      </c>
      <c r="C662" t="s">
        <v>31</v>
      </c>
      <c r="D662" t="s">
        <v>29</v>
      </c>
      <c r="E662" s="3">
        <v>5.25</v>
      </c>
      <c r="F662" s="3">
        <v>4.9874999999999998</v>
      </c>
      <c r="G662">
        <v>1.95</v>
      </c>
      <c r="H662" s="3">
        <v>10.237499999999999</v>
      </c>
      <c r="I662">
        <v>62</v>
      </c>
      <c r="J662">
        <v>2</v>
      </c>
      <c r="K662">
        <v>37</v>
      </c>
      <c r="L662" s="13">
        <f>(Table2[[#This Row],[STARTING INVENTORY]]-Table2[[#This Row],[ENDING INVENTORY]])/(Table2[[#This Row],[STARTING INVENTORY]])</f>
        <v>0.40322580645161288</v>
      </c>
      <c r="M662">
        <f>Table2[[#This Row],[STARTING INVENTORY]]-Table2[[#This Row],[ENDING INVENTORY]]</f>
        <v>25</v>
      </c>
    </row>
    <row r="663" spans="1:13">
      <c r="A663" t="s">
        <v>10</v>
      </c>
      <c r="B663" t="s">
        <v>164</v>
      </c>
      <c r="C663" t="s">
        <v>38</v>
      </c>
      <c r="D663" t="s">
        <v>29</v>
      </c>
      <c r="E663" s="3">
        <v>4.75</v>
      </c>
      <c r="F663" s="3">
        <v>4.5125000000000002</v>
      </c>
      <c r="G663">
        <v>2.0700000000000003</v>
      </c>
      <c r="H663" s="3">
        <v>9.8325000000000014</v>
      </c>
      <c r="I663">
        <v>67</v>
      </c>
      <c r="J663">
        <v>2</v>
      </c>
      <c r="K663">
        <v>58</v>
      </c>
      <c r="L663" s="13">
        <f>(Table2[[#This Row],[STARTING INVENTORY]]-Table2[[#This Row],[ENDING INVENTORY]])/(Table2[[#This Row],[STARTING INVENTORY]])</f>
        <v>0.13432835820895522</v>
      </c>
      <c r="M663">
        <f>Table2[[#This Row],[STARTING INVENTORY]]-Table2[[#This Row],[ENDING INVENTORY]]</f>
        <v>9</v>
      </c>
    </row>
    <row r="664" spans="1:13">
      <c r="A664" t="s">
        <v>10</v>
      </c>
      <c r="B664" t="s">
        <v>164</v>
      </c>
      <c r="C664" t="s">
        <v>44</v>
      </c>
      <c r="D664" t="s">
        <v>29</v>
      </c>
      <c r="E664" s="3">
        <v>6.5</v>
      </c>
      <c r="F664" s="3">
        <v>6.1749999999999998</v>
      </c>
      <c r="G664">
        <v>1.95</v>
      </c>
      <c r="H664" s="3">
        <v>12.674999999999999</v>
      </c>
      <c r="I664">
        <v>35</v>
      </c>
      <c r="J664">
        <v>1</v>
      </c>
      <c r="K664">
        <v>4</v>
      </c>
      <c r="L664" s="13">
        <f>(Table2[[#This Row],[STARTING INVENTORY]]-Table2[[#This Row],[ENDING INVENTORY]])/(Table2[[#This Row],[STARTING INVENTORY]])</f>
        <v>0.88571428571428568</v>
      </c>
      <c r="M664">
        <f>Table2[[#This Row],[STARTING INVENTORY]]-Table2[[#This Row],[ENDING INVENTORY]]</f>
        <v>31</v>
      </c>
    </row>
    <row r="665" spans="1:13">
      <c r="A665" t="s">
        <v>10</v>
      </c>
      <c r="B665" t="s">
        <v>164</v>
      </c>
      <c r="C665" t="s">
        <v>50</v>
      </c>
      <c r="D665" t="s">
        <v>29</v>
      </c>
      <c r="E665" s="3">
        <v>5.75</v>
      </c>
      <c r="F665" s="3">
        <v>5.4624999999999995</v>
      </c>
      <c r="G665">
        <v>1.96</v>
      </c>
      <c r="H665" s="3">
        <v>11.27</v>
      </c>
      <c r="I665">
        <v>87</v>
      </c>
      <c r="J665">
        <v>0</v>
      </c>
      <c r="K665">
        <v>12</v>
      </c>
      <c r="L665" s="13">
        <f>(Table2[[#This Row],[STARTING INVENTORY]]-Table2[[#This Row],[ENDING INVENTORY]])/(Table2[[#This Row],[STARTING INVENTORY]])</f>
        <v>0.86206896551724133</v>
      </c>
      <c r="M665">
        <f>Table2[[#This Row],[STARTING INVENTORY]]-Table2[[#This Row],[ENDING INVENTORY]]</f>
        <v>75</v>
      </c>
    </row>
    <row r="666" spans="1:13">
      <c r="A666" t="s">
        <v>10</v>
      </c>
      <c r="B666" t="s">
        <v>164</v>
      </c>
      <c r="C666" t="s">
        <v>56</v>
      </c>
      <c r="D666" t="s">
        <v>29</v>
      </c>
      <c r="E666" s="3">
        <v>5.5</v>
      </c>
      <c r="F666" s="3">
        <v>5.2249999999999996</v>
      </c>
      <c r="G666">
        <v>2</v>
      </c>
      <c r="H666" s="3">
        <v>11</v>
      </c>
      <c r="I666">
        <v>73</v>
      </c>
      <c r="J666">
        <v>2</v>
      </c>
      <c r="K666">
        <v>46</v>
      </c>
      <c r="L666" s="13">
        <f>(Table2[[#This Row],[STARTING INVENTORY]]-Table2[[#This Row],[ENDING INVENTORY]])/(Table2[[#This Row],[STARTING INVENTORY]])</f>
        <v>0.36986301369863012</v>
      </c>
      <c r="M666">
        <f>Table2[[#This Row],[STARTING INVENTORY]]-Table2[[#This Row],[ENDING INVENTORY]]</f>
        <v>27</v>
      </c>
    </row>
    <row r="667" spans="1:13">
      <c r="A667" t="s">
        <v>10</v>
      </c>
      <c r="B667" t="s">
        <v>164</v>
      </c>
      <c r="C667" t="s">
        <v>62</v>
      </c>
      <c r="D667" t="s">
        <v>29</v>
      </c>
      <c r="E667" s="3">
        <v>4.25</v>
      </c>
      <c r="F667" s="3">
        <v>4.0374999999999996</v>
      </c>
      <c r="G667">
        <v>2.06</v>
      </c>
      <c r="H667" s="3">
        <v>8.7550000000000008</v>
      </c>
      <c r="I667">
        <v>74</v>
      </c>
      <c r="J667">
        <v>0</v>
      </c>
      <c r="K667">
        <v>60</v>
      </c>
      <c r="L667" s="13">
        <f>(Table2[[#This Row],[STARTING INVENTORY]]-Table2[[#This Row],[ENDING INVENTORY]])/(Table2[[#This Row],[STARTING INVENTORY]])</f>
        <v>0.1891891891891892</v>
      </c>
      <c r="M667">
        <f>Table2[[#This Row],[STARTING INVENTORY]]-Table2[[#This Row],[ENDING INVENTORY]]</f>
        <v>14</v>
      </c>
    </row>
    <row r="668" spans="1:13">
      <c r="A668" t="s">
        <v>10</v>
      </c>
      <c r="B668" t="s">
        <v>164</v>
      </c>
      <c r="C668" t="s">
        <v>68</v>
      </c>
      <c r="D668" t="s">
        <v>29</v>
      </c>
      <c r="E668" s="3">
        <v>5.0999999999999996</v>
      </c>
      <c r="F668" s="3">
        <v>4.8449999999999998</v>
      </c>
      <c r="G668">
        <v>2.0300000000000002</v>
      </c>
      <c r="H668" s="3">
        <v>10.353</v>
      </c>
      <c r="I668">
        <v>61</v>
      </c>
      <c r="J668">
        <v>3</v>
      </c>
      <c r="K668">
        <v>30</v>
      </c>
      <c r="L668" s="13">
        <f>(Table2[[#This Row],[STARTING INVENTORY]]-Table2[[#This Row],[ENDING INVENTORY]])/(Table2[[#This Row],[STARTING INVENTORY]])</f>
        <v>0.50819672131147542</v>
      </c>
      <c r="M668">
        <f>Table2[[#This Row],[STARTING INVENTORY]]-Table2[[#This Row],[ENDING INVENTORY]]</f>
        <v>31</v>
      </c>
    </row>
    <row r="669" spans="1:13">
      <c r="A669" t="s">
        <v>10</v>
      </c>
      <c r="B669" t="s">
        <v>164</v>
      </c>
      <c r="C669" t="s">
        <v>74</v>
      </c>
      <c r="D669" t="s">
        <v>29</v>
      </c>
      <c r="E669" s="3">
        <v>2.8</v>
      </c>
      <c r="F669" s="3">
        <v>2.6599999999999997</v>
      </c>
      <c r="G669">
        <v>1.96</v>
      </c>
      <c r="H669" s="3">
        <v>5.4879999999999995</v>
      </c>
      <c r="I669">
        <v>74</v>
      </c>
      <c r="J669">
        <v>4</v>
      </c>
      <c r="K669">
        <v>21</v>
      </c>
      <c r="L669" s="13">
        <f>(Table2[[#This Row],[STARTING INVENTORY]]-Table2[[#This Row],[ENDING INVENTORY]])/(Table2[[#This Row],[STARTING INVENTORY]])</f>
        <v>0.71621621621621623</v>
      </c>
      <c r="M669">
        <f>Table2[[#This Row],[STARTING INVENTORY]]-Table2[[#This Row],[ENDING INVENTORY]]</f>
        <v>53</v>
      </c>
    </row>
    <row r="670" spans="1:13">
      <c r="A670" t="s">
        <v>10</v>
      </c>
      <c r="B670" t="s">
        <v>164</v>
      </c>
      <c r="C670" t="s">
        <v>80</v>
      </c>
      <c r="D670" t="s">
        <v>29</v>
      </c>
      <c r="E670" s="3">
        <v>4</v>
      </c>
      <c r="F670" s="3">
        <v>3.8</v>
      </c>
      <c r="G670">
        <v>1.98</v>
      </c>
      <c r="H670" s="3">
        <v>7.92</v>
      </c>
      <c r="I670">
        <v>90</v>
      </c>
      <c r="J670">
        <v>2</v>
      </c>
      <c r="K670">
        <v>85</v>
      </c>
      <c r="L670" s="13">
        <f>(Table2[[#This Row],[STARTING INVENTORY]]-Table2[[#This Row],[ENDING INVENTORY]])/(Table2[[#This Row],[STARTING INVENTORY]])</f>
        <v>5.5555555555555552E-2</v>
      </c>
      <c r="M670">
        <f>Table2[[#This Row],[STARTING INVENTORY]]-Table2[[#This Row],[ENDING INVENTORY]]</f>
        <v>5</v>
      </c>
    </row>
    <row r="671" spans="1:13">
      <c r="A671" t="s">
        <v>10</v>
      </c>
      <c r="B671" t="s">
        <v>164</v>
      </c>
      <c r="C671" t="s">
        <v>86</v>
      </c>
      <c r="D671" t="s">
        <v>29</v>
      </c>
      <c r="E671" s="3">
        <v>9</v>
      </c>
      <c r="F671" s="3">
        <v>8.5499999999999989</v>
      </c>
      <c r="G671">
        <v>2.04</v>
      </c>
      <c r="H671" s="3">
        <v>18.36</v>
      </c>
      <c r="I671">
        <v>76</v>
      </c>
      <c r="J671">
        <v>2</v>
      </c>
      <c r="K671">
        <v>42</v>
      </c>
      <c r="L671" s="13">
        <f>(Table2[[#This Row],[STARTING INVENTORY]]-Table2[[#This Row],[ENDING INVENTORY]])/(Table2[[#This Row],[STARTING INVENTORY]])</f>
        <v>0.44736842105263158</v>
      </c>
      <c r="M671">
        <f>Table2[[#This Row],[STARTING INVENTORY]]-Table2[[#This Row],[ENDING INVENTORY]]</f>
        <v>34</v>
      </c>
    </row>
    <row r="672" spans="1:13">
      <c r="A672" t="s">
        <v>10</v>
      </c>
      <c r="B672" t="s">
        <v>164</v>
      </c>
      <c r="C672" t="s">
        <v>92</v>
      </c>
      <c r="D672" t="s">
        <v>29</v>
      </c>
      <c r="E672" s="3">
        <v>2.75</v>
      </c>
      <c r="F672" s="3">
        <v>2.6124999999999998</v>
      </c>
      <c r="G672">
        <v>1.99</v>
      </c>
      <c r="H672" s="3">
        <v>5.4725000000000001</v>
      </c>
      <c r="I672">
        <v>50</v>
      </c>
      <c r="J672">
        <v>8</v>
      </c>
      <c r="K672">
        <v>2</v>
      </c>
      <c r="L672" s="13">
        <f>(Table2[[#This Row],[STARTING INVENTORY]]-Table2[[#This Row],[ENDING INVENTORY]])/(Table2[[#This Row],[STARTING INVENTORY]])</f>
        <v>0.96</v>
      </c>
      <c r="M672">
        <f>Table2[[#This Row],[STARTING INVENTORY]]-Table2[[#This Row],[ENDING INVENTORY]]</f>
        <v>48</v>
      </c>
    </row>
    <row r="673" spans="1:13">
      <c r="A673" t="s">
        <v>10</v>
      </c>
      <c r="B673" t="s">
        <v>164</v>
      </c>
      <c r="C673" t="s">
        <v>98</v>
      </c>
      <c r="D673" t="s">
        <v>29</v>
      </c>
      <c r="E673" s="3">
        <v>3.9</v>
      </c>
      <c r="F673" s="3">
        <v>3.7049999999999996</v>
      </c>
      <c r="G673">
        <v>1.96</v>
      </c>
      <c r="H673" s="3">
        <v>7.6440000000000001</v>
      </c>
      <c r="I673">
        <v>109</v>
      </c>
      <c r="J673">
        <v>5</v>
      </c>
      <c r="K673">
        <v>53</v>
      </c>
      <c r="L673" s="13">
        <f>(Table2[[#This Row],[STARTING INVENTORY]]-Table2[[#This Row],[ENDING INVENTORY]])/(Table2[[#This Row],[STARTING INVENTORY]])</f>
        <v>0.51376146788990829</v>
      </c>
      <c r="M673">
        <f>Table2[[#This Row],[STARTING INVENTORY]]-Table2[[#This Row],[ENDING INVENTORY]]</f>
        <v>56</v>
      </c>
    </row>
    <row r="674" spans="1:13">
      <c r="A674" t="s">
        <v>10</v>
      </c>
      <c r="B674" t="s">
        <v>164</v>
      </c>
      <c r="C674" t="s">
        <v>104</v>
      </c>
      <c r="D674" t="s">
        <v>29</v>
      </c>
      <c r="E674" s="3">
        <v>4.3</v>
      </c>
      <c r="F674" s="3">
        <v>4.085</v>
      </c>
      <c r="G674">
        <v>2.0099999999999998</v>
      </c>
      <c r="H674" s="3">
        <v>8.6429999999999989</v>
      </c>
      <c r="I674">
        <v>114</v>
      </c>
      <c r="J674">
        <v>7</v>
      </c>
      <c r="K674">
        <v>9</v>
      </c>
      <c r="L674" s="13">
        <f>(Table2[[#This Row],[STARTING INVENTORY]]-Table2[[#This Row],[ENDING INVENTORY]])/(Table2[[#This Row],[STARTING INVENTORY]])</f>
        <v>0.92105263157894735</v>
      </c>
      <c r="M674">
        <f>Table2[[#This Row],[STARTING INVENTORY]]-Table2[[#This Row],[ENDING INVENTORY]]</f>
        <v>105</v>
      </c>
    </row>
    <row r="675" spans="1:13">
      <c r="A675" t="s">
        <v>10</v>
      </c>
      <c r="B675" t="s">
        <v>164</v>
      </c>
      <c r="C675" t="s">
        <v>110</v>
      </c>
      <c r="D675" t="s">
        <v>29</v>
      </c>
      <c r="E675" s="3">
        <v>4</v>
      </c>
      <c r="F675" s="3">
        <v>3.8</v>
      </c>
      <c r="G675">
        <v>1.95</v>
      </c>
      <c r="H675" s="3">
        <v>7.8</v>
      </c>
      <c r="I675">
        <v>104</v>
      </c>
      <c r="J675">
        <v>5</v>
      </c>
      <c r="K675">
        <v>41</v>
      </c>
      <c r="L675" s="13">
        <f>(Table2[[#This Row],[STARTING INVENTORY]]-Table2[[#This Row],[ENDING INVENTORY]])/(Table2[[#This Row],[STARTING INVENTORY]])</f>
        <v>0.60576923076923073</v>
      </c>
      <c r="M675">
        <f>Table2[[#This Row],[STARTING INVENTORY]]-Table2[[#This Row],[ENDING INVENTORY]]</f>
        <v>63</v>
      </c>
    </row>
    <row r="676" spans="1:13">
      <c r="A676" t="s">
        <v>10</v>
      </c>
      <c r="B676" t="s">
        <v>164</v>
      </c>
      <c r="C676" t="s">
        <v>116</v>
      </c>
      <c r="D676" t="s">
        <v>29</v>
      </c>
      <c r="E676" s="3">
        <v>4.75</v>
      </c>
      <c r="F676" s="3">
        <v>4.5125000000000002</v>
      </c>
      <c r="G676">
        <v>2.08</v>
      </c>
      <c r="H676" s="3">
        <v>9.8800000000000008</v>
      </c>
      <c r="I676">
        <v>65</v>
      </c>
      <c r="J676">
        <v>0</v>
      </c>
      <c r="K676">
        <v>63</v>
      </c>
      <c r="L676" s="13">
        <f>(Table2[[#This Row],[STARTING INVENTORY]]-Table2[[#This Row],[ENDING INVENTORY]])/(Table2[[#This Row],[STARTING INVENTORY]])</f>
        <v>3.0769230769230771E-2</v>
      </c>
      <c r="M676">
        <f>Table2[[#This Row],[STARTING INVENTORY]]-Table2[[#This Row],[ENDING INVENTORY]]</f>
        <v>2</v>
      </c>
    </row>
    <row r="677" spans="1:13">
      <c r="A677" t="s">
        <v>10</v>
      </c>
      <c r="B677" t="s">
        <v>164</v>
      </c>
      <c r="C677" t="s">
        <v>122</v>
      </c>
      <c r="D677" t="s">
        <v>29</v>
      </c>
      <c r="E677" s="3">
        <v>2.25</v>
      </c>
      <c r="F677" s="3">
        <v>2.1374999999999997</v>
      </c>
      <c r="G677">
        <v>2</v>
      </c>
      <c r="H677" s="3">
        <v>4.5</v>
      </c>
      <c r="I677">
        <v>48</v>
      </c>
      <c r="J677">
        <v>0</v>
      </c>
      <c r="K677">
        <v>20</v>
      </c>
      <c r="L677" s="13">
        <f>(Table2[[#This Row],[STARTING INVENTORY]]-Table2[[#This Row],[ENDING INVENTORY]])/(Table2[[#This Row],[STARTING INVENTORY]])</f>
        <v>0.58333333333333337</v>
      </c>
      <c r="M677">
        <f>Table2[[#This Row],[STARTING INVENTORY]]-Table2[[#This Row],[ENDING INVENTORY]]</f>
        <v>28</v>
      </c>
    </row>
    <row r="678" spans="1:13">
      <c r="A678" t="s">
        <v>10</v>
      </c>
      <c r="B678" t="s">
        <v>164</v>
      </c>
      <c r="C678" t="s">
        <v>128</v>
      </c>
      <c r="D678" t="s">
        <v>29</v>
      </c>
      <c r="E678" s="3">
        <v>2.1</v>
      </c>
      <c r="F678" s="3">
        <v>1.9949999999999999</v>
      </c>
      <c r="G678">
        <v>2.1</v>
      </c>
      <c r="H678" s="3">
        <v>4.41</v>
      </c>
      <c r="I678">
        <v>49</v>
      </c>
      <c r="J678">
        <v>2</v>
      </c>
      <c r="K678">
        <v>15</v>
      </c>
      <c r="L678" s="13">
        <f>(Table2[[#This Row],[STARTING INVENTORY]]-Table2[[#This Row],[ENDING INVENTORY]])/(Table2[[#This Row],[STARTING INVENTORY]])</f>
        <v>0.69387755102040816</v>
      </c>
      <c r="M678">
        <f>Table2[[#This Row],[STARTING INVENTORY]]-Table2[[#This Row],[ENDING INVENTORY]]</f>
        <v>34</v>
      </c>
    </row>
    <row r="679" spans="1:13">
      <c r="A679" t="s">
        <v>10</v>
      </c>
      <c r="B679" t="s">
        <v>164</v>
      </c>
      <c r="C679" t="s">
        <v>134</v>
      </c>
      <c r="D679" t="s">
        <v>29</v>
      </c>
      <c r="E679" s="3">
        <v>2</v>
      </c>
      <c r="F679" s="3">
        <v>1.9</v>
      </c>
      <c r="G679">
        <v>2.0700000000000003</v>
      </c>
      <c r="H679" s="3">
        <v>4.1400000000000006</v>
      </c>
      <c r="I679">
        <v>86</v>
      </c>
      <c r="J679">
        <v>0</v>
      </c>
      <c r="K679">
        <v>75</v>
      </c>
      <c r="L679" s="13">
        <f>(Table2[[#This Row],[STARTING INVENTORY]]-Table2[[#This Row],[ENDING INVENTORY]])/(Table2[[#This Row],[STARTING INVENTORY]])</f>
        <v>0.12790697674418605</v>
      </c>
      <c r="M679">
        <f>Table2[[#This Row],[STARTING INVENTORY]]-Table2[[#This Row],[ENDING INVENTORY]]</f>
        <v>11</v>
      </c>
    </row>
    <row r="680" spans="1:13">
      <c r="A680" t="s">
        <v>10</v>
      </c>
      <c r="B680" t="s">
        <v>164</v>
      </c>
      <c r="C680" t="s">
        <v>140</v>
      </c>
      <c r="D680" t="s">
        <v>33</v>
      </c>
      <c r="E680" s="3">
        <v>4.5</v>
      </c>
      <c r="F680" s="3">
        <v>4.2749999999999995</v>
      </c>
      <c r="G680">
        <v>2.1</v>
      </c>
      <c r="H680" s="3">
        <v>9.4500000000000011</v>
      </c>
      <c r="I680">
        <v>47</v>
      </c>
      <c r="J680">
        <v>2</v>
      </c>
      <c r="K680">
        <v>1</v>
      </c>
      <c r="L680" s="13">
        <f>(Table2[[#This Row],[STARTING INVENTORY]]-Table2[[#This Row],[ENDING INVENTORY]])/(Table2[[#This Row],[STARTING INVENTORY]])</f>
        <v>0.97872340425531912</v>
      </c>
      <c r="M680">
        <f>Table2[[#This Row],[STARTING INVENTORY]]-Table2[[#This Row],[ENDING INVENTORY]]</f>
        <v>46</v>
      </c>
    </row>
    <row r="681" spans="1:13">
      <c r="A681" t="s">
        <v>10</v>
      </c>
      <c r="B681" t="s">
        <v>164</v>
      </c>
      <c r="C681" t="s">
        <v>146</v>
      </c>
      <c r="D681" t="s">
        <v>33</v>
      </c>
      <c r="E681" s="3">
        <v>3.75</v>
      </c>
      <c r="F681" s="3">
        <v>3.5625</v>
      </c>
      <c r="G681">
        <v>1.95</v>
      </c>
      <c r="H681" s="3">
        <v>7.3125</v>
      </c>
      <c r="I681">
        <v>76</v>
      </c>
      <c r="J681">
        <v>1</v>
      </c>
      <c r="K681">
        <v>40</v>
      </c>
      <c r="L681" s="13">
        <f>(Table2[[#This Row],[STARTING INVENTORY]]-Table2[[#This Row],[ENDING INVENTORY]])/(Table2[[#This Row],[STARTING INVENTORY]])</f>
        <v>0.47368421052631576</v>
      </c>
      <c r="M681">
        <f>Table2[[#This Row],[STARTING INVENTORY]]-Table2[[#This Row],[ENDING INVENTORY]]</f>
        <v>36</v>
      </c>
    </row>
    <row r="682" spans="1:13">
      <c r="A682" t="s">
        <v>10</v>
      </c>
      <c r="B682" t="s">
        <v>165</v>
      </c>
      <c r="C682" t="s">
        <v>35</v>
      </c>
      <c r="D682" t="s">
        <v>33</v>
      </c>
      <c r="E682" s="3">
        <v>2</v>
      </c>
      <c r="F682" s="3">
        <v>1.9</v>
      </c>
      <c r="G682">
        <v>2.0700000000000003</v>
      </c>
      <c r="H682" s="3">
        <v>4.1400000000000006</v>
      </c>
      <c r="I682">
        <v>164</v>
      </c>
      <c r="J682">
        <v>2</v>
      </c>
      <c r="K682">
        <v>151</v>
      </c>
      <c r="L682" s="13">
        <f>(Table2[[#This Row],[STARTING INVENTORY]]-Table2[[#This Row],[ENDING INVENTORY]])/(Table2[[#This Row],[STARTING INVENTORY]])</f>
        <v>7.926829268292683E-2</v>
      </c>
      <c r="M682">
        <f>Table2[[#This Row],[STARTING INVENTORY]]-Table2[[#This Row],[ENDING INVENTORY]]</f>
        <v>13</v>
      </c>
    </row>
    <row r="683" spans="1:13">
      <c r="A683" t="s">
        <v>10</v>
      </c>
      <c r="B683" t="s">
        <v>165</v>
      </c>
      <c r="C683" t="s">
        <v>41</v>
      </c>
      <c r="D683" t="s">
        <v>33</v>
      </c>
      <c r="E683" s="3">
        <v>1.95</v>
      </c>
      <c r="F683" s="3">
        <v>1.8524999999999998</v>
      </c>
      <c r="G683">
        <v>1.96</v>
      </c>
      <c r="H683" s="3">
        <v>3.8220000000000001</v>
      </c>
      <c r="I683">
        <v>108</v>
      </c>
      <c r="J683">
        <v>4</v>
      </c>
      <c r="K683">
        <v>34</v>
      </c>
      <c r="L683" s="13">
        <f>(Table2[[#This Row],[STARTING INVENTORY]]-Table2[[#This Row],[ENDING INVENTORY]])/(Table2[[#This Row],[STARTING INVENTORY]])</f>
        <v>0.68518518518518523</v>
      </c>
      <c r="M683">
        <f>Table2[[#This Row],[STARTING INVENTORY]]-Table2[[#This Row],[ENDING INVENTORY]]</f>
        <v>74</v>
      </c>
    </row>
    <row r="684" spans="1:13">
      <c r="A684" t="s">
        <v>10</v>
      </c>
      <c r="B684" t="s">
        <v>165</v>
      </c>
      <c r="C684" t="s">
        <v>47</v>
      </c>
      <c r="D684" t="s">
        <v>33</v>
      </c>
      <c r="E684" s="3">
        <v>1.9</v>
      </c>
      <c r="F684" s="3">
        <v>1.8049999999999999</v>
      </c>
      <c r="G684">
        <v>1.97</v>
      </c>
      <c r="H684" s="3">
        <v>3.7429999999999999</v>
      </c>
      <c r="I684">
        <v>73</v>
      </c>
      <c r="J684">
        <v>4</v>
      </c>
      <c r="K684">
        <v>55</v>
      </c>
      <c r="L684" s="13">
        <f>(Table2[[#This Row],[STARTING INVENTORY]]-Table2[[#This Row],[ENDING INVENTORY]])/(Table2[[#This Row],[STARTING INVENTORY]])</f>
        <v>0.24657534246575341</v>
      </c>
      <c r="M684">
        <f>Table2[[#This Row],[STARTING INVENTORY]]-Table2[[#This Row],[ENDING INVENTORY]]</f>
        <v>18</v>
      </c>
    </row>
    <row r="685" spans="1:13">
      <c r="A685" t="s">
        <v>10</v>
      </c>
      <c r="B685" t="s">
        <v>165</v>
      </c>
      <c r="C685" t="s">
        <v>53</v>
      </c>
      <c r="D685" t="s">
        <v>33</v>
      </c>
      <c r="E685" s="3">
        <v>3.1</v>
      </c>
      <c r="F685" s="3">
        <v>2.9449999999999998</v>
      </c>
      <c r="G685">
        <v>2.02</v>
      </c>
      <c r="H685" s="3">
        <v>6.2620000000000005</v>
      </c>
      <c r="I685">
        <v>74</v>
      </c>
      <c r="J685">
        <v>2</v>
      </c>
      <c r="K685">
        <v>29</v>
      </c>
      <c r="L685" s="13">
        <f>(Table2[[#This Row],[STARTING INVENTORY]]-Table2[[#This Row],[ENDING INVENTORY]])/(Table2[[#This Row],[STARTING INVENTORY]])</f>
        <v>0.60810810810810811</v>
      </c>
      <c r="M685">
        <f>Table2[[#This Row],[STARTING INVENTORY]]-Table2[[#This Row],[ENDING INVENTORY]]</f>
        <v>45</v>
      </c>
    </row>
    <row r="686" spans="1:13">
      <c r="A686" t="s">
        <v>10</v>
      </c>
      <c r="B686" t="s">
        <v>165</v>
      </c>
      <c r="C686" t="s">
        <v>59</v>
      </c>
      <c r="D686" t="s">
        <v>33</v>
      </c>
      <c r="E686" s="3">
        <v>2</v>
      </c>
      <c r="F686" s="3">
        <v>1.9</v>
      </c>
      <c r="G686">
        <v>2.04</v>
      </c>
      <c r="H686" s="3">
        <v>4.08</v>
      </c>
      <c r="I686">
        <v>90</v>
      </c>
      <c r="J686">
        <v>5</v>
      </c>
      <c r="K686">
        <v>56</v>
      </c>
      <c r="L686" s="13">
        <f>(Table2[[#This Row],[STARTING INVENTORY]]-Table2[[#This Row],[ENDING INVENTORY]])/(Table2[[#This Row],[STARTING INVENTORY]])</f>
        <v>0.37777777777777777</v>
      </c>
      <c r="M686">
        <f>Table2[[#This Row],[STARTING INVENTORY]]-Table2[[#This Row],[ENDING INVENTORY]]</f>
        <v>34</v>
      </c>
    </row>
    <row r="687" spans="1:13">
      <c r="A687" t="s">
        <v>10</v>
      </c>
      <c r="B687" t="s">
        <v>165</v>
      </c>
      <c r="C687" t="s">
        <v>65</v>
      </c>
      <c r="D687" t="s">
        <v>33</v>
      </c>
      <c r="E687" s="3">
        <v>1.7</v>
      </c>
      <c r="F687" s="3">
        <v>1.615</v>
      </c>
      <c r="G687">
        <v>2.0700000000000003</v>
      </c>
      <c r="H687" s="3">
        <v>3.5190000000000006</v>
      </c>
      <c r="I687">
        <v>60</v>
      </c>
      <c r="J687">
        <v>1</v>
      </c>
      <c r="K687">
        <v>29</v>
      </c>
      <c r="L687" s="13">
        <f>(Table2[[#This Row],[STARTING INVENTORY]]-Table2[[#This Row],[ENDING INVENTORY]])/(Table2[[#This Row],[STARTING INVENTORY]])</f>
        <v>0.51666666666666672</v>
      </c>
      <c r="M687">
        <f>Table2[[#This Row],[STARTING INVENTORY]]-Table2[[#This Row],[ENDING INVENTORY]]</f>
        <v>31</v>
      </c>
    </row>
    <row r="688" spans="1:13">
      <c r="A688" t="s">
        <v>10</v>
      </c>
      <c r="B688" t="s">
        <v>165</v>
      </c>
      <c r="C688" t="s">
        <v>71</v>
      </c>
      <c r="D688" t="s">
        <v>33</v>
      </c>
      <c r="E688" s="3">
        <v>1.5</v>
      </c>
      <c r="F688" s="3">
        <v>1.4249999999999998</v>
      </c>
      <c r="G688">
        <v>1.97</v>
      </c>
      <c r="H688" s="3">
        <v>2.9550000000000001</v>
      </c>
      <c r="I688">
        <v>176</v>
      </c>
      <c r="J688">
        <v>6</v>
      </c>
      <c r="K688">
        <v>46</v>
      </c>
      <c r="L688" s="13">
        <f>(Table2[[#This Row],[STARTING INVENTORY]]-Table2[[#This Row],[ENDING INVENTORY]])/(Table2[[#This Row],[STARTING INVENTORY]])</f>
        <v>0.73863636363636365</v>
      </c>
      <c r="M688">
        <f>Table2[[#This Row],[STARTING INVENTORY]]-Table2[[#This Row],[ENDING INVENTORY]]</f>
        <v>130</v>
      </c>
    </row>
    <row r="689" spans="1:13">
      <c r="A689" t="s">
        <v>10</v>
      </c>
      <c r="B689" t="s">
        <v>165</v>
      </c>
      <c r="C689" t="s">
        <v>77</v>
      </c>
      <c r="D689" t="s">
        <v>33</v>
      </c>
      <c r="E689" s="3">
        <v>2.65</v>
      </c>
      <c r="F689" s="3">
        <v>2.5174999999999996</v>
      </c>
      <c r="G689">
        <v>2.1</v>
      </c>
      <c r="H689" s="3">
        <v>5.5650000000000004</v>
      </c>
      <c r="I689">
        <v>113</v>
      </c>
      <c r="J689">
        <v>0</v>
      </c>
      <c r="K689">
        <v>34</v>
      </c>
      <c r="L689" s="13">
        <f>(Table2[[#This Row],[STARTING INVENTORY]]-Table2[[#This Row],[ENDING INVENTORY]])/(Table2[[#This Row],[STARTING INVENTORY]])</f>
        <v>0.69911504424778759</v>
      </c>
      <c r="M689">
        <f>Table2[[#This Row],[STARTING INVENTORY]]-Table2[[#This Row],[ENDING INVENTORY]]</f>
        <v>79</v>
      </c>
    </row>
    <row r="690" spans="1:13">
      <c r="A690" t="s">
        <v>10</v>
      </c>
      <c r="B690" t="s">
        <v>165</v>
      </c>
      <c r="C690" t="s">
        <v>83</v>
      </c>
      <c r="D690" t="s">
        <v>33</v>
      </c>
      <c r="E690" s="3">
        <v>1.2</v>
      </c>
      <c r="F690" s="3">
        <v>1.1399999999999999</v>
      </c>
      <c r="G690">
        <v>2.09</v>
      </c>
      <c r="H690" s="3">
        <v>2.5079999999999996</v>
      </c>
      <c r="I690">
        <v>177</v>
      </c>
      <c r="J690">
        <v>8</v>
      </c>
      <c r="K690">
        <v>18</v>
      </c>
      <c r="L690" s="13">
        <f>(Table2[[#This Row],[STARTING INVENTORY]]-Table2[[#This Row],[ENDING INVENTORY]])/(Table2[[#This Row],[STARTING INVENTORY]])</f>
        <v>0.89830508474576276</v>
      </c>
      <c r="M690">
        <f>Table2[[#This Row],[STARTING INVENTORY]]-Table2[[#This Row],[ENDING INVENTORY]]</f>
        <v>159</v>
      </c>
    </row>
    <row r="691" spans="1:13">
      <c r="A691" t="s">
        <v>10</v>
      </c>
      <c r="B691" t="s">
        <v>165</v>
      </c>
      <c r="C691" t="s">
        <v>89</v>
      </c>
      <c r="D691" t="s">
        <v>33</v>
      </c>
      <c r="E691" s="3">
        <v>1.4</v>
      </c>
      <c r="F691" s="3">
        <v>1.3299999999999998</v>
      </c>
      <c r="G691">
        <v>1.99</v>
      </c>
      <c r="H691" s="3">
        <v>2.786</v>
      </c>
      <c r="I691">
        <v>62</v>
      </c>
      <c r="J691">
        <v>3</v>
      </c>
      <c r="K691">
        <v>49</v>
      </c>
      <c r="L691" s="13">
        <f>(Table2[[#This Row],[STARTING INVENTORY]]-Table2[[#This Row],[ENDING INVENTORY]])/(Table2[[#This Row],[STARTING INVENTORY]])</f>
        <v>0.20967741935483872</v>
      </c>
      <c r="M691">
        <f>Table2[[#This Row],[STARTING INVENTORY]]-Table2[[#This Row],[ENDING INVENTORY]]</f>
        <v>13</v>
      </c>
    </row>
    <row r="692" spans="1:13">
      <c r="A692" t="s">
        <v>10</v>
      </c>
      <c r="B692" t="s">
        <v>165</v>
      </c>
      <c r="C692" t="s">
        <v>95</v>
      </c>
      <c r="D692" t="s">
        <v>33</v>
      </c>
      <c r="E692" s="3">
        <v>1.6</v>
      </c>
      <c r="F692" s="3">
        <v>1.52</v>
      </c>
      <c r="G692">
        <v>2.09</v>
      </c>
      <c r="H692" s="3">
        <v>3.3439999999999999</v>
      </c>
      <c r="I692">
        <v>75</v>
      </c>
      <c r="J692">
        <v>1</v>
      </c>
      <c r="K692">
        <v>7</v>
      </c>
      <c r="L692" s="13">
        <f>(Table2[[#This Row],[STARTING INVENTORY]]-Table2[[#This Row],[ENDING INVENTORY]])/(Table2[[#This Row],[STARTING INVENTORY]])</f>
        <v>0.90666666666666662</v>
      </c>
      <c r="M692">
        <f>Table2[[#This Row],[STARTING INVENTORY]]-Table2[[#This Row],[ENDING INVENTORY]]</f>
        <v>68</v>
      </c>
    </row>
    <row r="693" spans="1:13">
      <c r="A693" t="s">
        <v>10</v>
      </c>
      <c r="B693" t="s">
        <v>165</v>
      </c>
      <c r="C693" t="s">
        <v>101</v>
      </c>
      <c r="D693" t="s">
        <v>33</v>
      </c>
      <c r="E693" s="3">
        <v>0.7</v>
      </c>
      <c r="F693" s="3">
        <v>0.66499999999999992</v>
      </c>
      <c r="G693">
        <v>2.02</v>
      </c>
      <c r="H693" s="3">
        <v>1.4139999999999999</v>
      </c>
      <c r="I693">
        <v>146</v>
      </c>
      <c r="J693">
        <v>0</v>
      </c>
      <c r="K693">
        <v>25</v>
      </c>
      <c r="L693" s="13">
        <f>(Table2[[#This Row],[STARTING INVENTORY]]-Table2[[#This Row],[ENDING INVENTORY]])/(Table2[[#This Row],[STARTING INVENTORY]])</f>
        <v>0.82876712328767121</v>
      </c>
      <c r="M693">
        <f>Table2[[#This Row],[STARTING INVENTORY]]-Table2[[#This Row],[ENDING INVENTORY]]</f>
        <v>121</v>
      </c>
    </row>
    <row r="694" spans="1:13">
      <c r="A694" t="s">
        <v>10</v>
      </c>
      <c r="B694" t="s">
        <v>165</v>
      </c>
      <c r="C694" t="s">
        <v>107</v>
      </c>
      <c r="D694" t="s">
        <v>33</v>
      </c>
      <c r="E694" s="3">
        <v>0.55000000000000004</v>
      </c>
      <c r="F694" s="3">
        <v>0.52249999999999996</v>
      </c>
      <c r="G694">
        <v>2.0300000000000002</v>
      </c>
      <c r="H694" s="3">
        <v>1.1165000000000003</v>
      </c>
      <c r="I694">
        <v>116</v>
      </c>
      <c r="J694">
        <v>2</v>
      </c>
      <c r="K694">
        <v>112</v>
      </c>
      <c r="L694" s="13">
        <f>(Table2[[#This Row],[STARTING INVENTORY]]-Table2[[#This Row],[ENDING INVENTORY]])/(Table2[[#This Row],[STARTING INVENTORY]])</f>
        <v>3.4482758620689655E-2</v>
      </c>
      <c r="M694">
        <f>Table2[[#This Row],[STARTING INVENTORY]]-Table2[[#This Row],[ENDING INVENTORY]]</f>
        <v>4</v>
      </c>
    </row>
    <row r="695" spans="1:13">
      <c r="A695" t="s">
        <v>10</v>
      </c>
      <c r="B695" t="s">
        <v>165</v>
      </c>
      <c r="C695" t="s">
        <v>113</v>
      </c>
      <c r="D695" t="s">
        <v>33</v>
      </c>
      <c r="E695" s="3">
        <v>1.4</v>
      </c>
      <c r="F695" s="3">
        <v>1.3299999999999998</v>
      </c>
      <c r="G695">
        <v>2.0099999999999998</v>
      </c>
      <c r="H695" s="3">
        <v>2.8139999999999996</v>
      </c>
      <c r="I695">
        <v>134</v>
      </c>
      <c r="J695">
        <v>0</v>
      </c>
      <c r="K695">
        <v>70</v>
      </c>
      <c r="L695" s="13">
        <f>(Table2[[#This Row],[STARTING INVENTORY]]-Table2[[#This Row],[ENDING INVENTORY]])/(Table2[[#This Row],[STARTING INVENTORY]])</f>
        <v>0.47761194029850745</v>
      </c>
      <c r="M695">
        <f>Table2[[#This Row],[STARTING INVENTORY]]-Table2[[#This Row],[ENDING INVENTORY]]</f>
        <v>64</v>
      </c>
    </row>
    <row r="696" spans="1:13">
      <c r="A696" t="s">
        <v>10</v>
      </c>
      <c r="B696" t="s">
        <v>165</v>
      </c>
      <c r="C696" t="s">
        <v>119</v>
      </c>
      <c r="D696" t="s">
        <v>33</v>
      </c>
      <c r="E696" s="3">
        <v>2</v>
      </c>
      <c r="F696" s="3">
        <v>1.9</v>
      </c>
      <c r="G696">
        <v>2.06</v>
      </c>
      <c r="H696" s="3">
        <v>4.12</v>
      </c>
      <c r="I696">
        <v>71</v>
      </c>
      <c r="J696">
        <v>0</v>
      </c>
      <c r="K696">
        <v>29</v>
      </c>
      <c r="L696" s="13">
        <f>(Table2[[#This Row],[STARTING INVENTORY]]-Table2[[#This Row],[ENDING INVENTORY]])/(Table2[[#This Row],[STARTING INVENTORY]])</f>
        <v>0.59154929577464788</v>
      </c>
      <c r="M696">
        <f>Table2[[#This Row],[STARTING INVENTORY]]-Table2[[#This Row],[ENDING INVENTORY]]</f>
        <v>42</v>
      </c>
    </row>
    <row r="697" spans="1:13">
      <c r="A697" t="s">
        <v>10</v>
      </c>
      <c r="B697" t="s">
        <v>165</v>
      </c>
      <c r="C697" t="s">
        <v>125</v>
      </c>
      <c r="D697" t="s">
        <v>33</v>
      </c>
      <c r="E697" s="3">
        <v>2.25</v>
      </c>
      <c r="F697" s="3">
        <v>2.1374999999999997</v>
      </c>
      <c r="G697">
        <v>2.08</v>
      </c>
      <c r="H697" s="3">
        <v>4.68</v>
      </c>
      <c r="I697">
        <v>133</v>
      </c>
      <c r="J697">
        <v>3</v>
      </c>
      <c r="K697">
        <v>66</v>
      </c>
      <c r="L697" s="13">
        <f>(Table2[[#This Row],[STARTING INVENTORY]]-Table2[[#This Row],[ENDING INVENTORY]])/(Table2[[#This Row],[STARTING INVENTORY]])</f>
        <v>0.50375939849624063</v>
      </c>
      <c r="M697">
        <f>Table2[[#This Row],[STARTING INVENTORY]]-Table2[[#This Row],[ENDING INVENTORY]]</f>
        <v>67</v>
      </c>
    </row>
    <row r="698" spans="1:13">
      <c r="A698" t="s">
        <v>10</v>
      </c>
      <c r="B698" t="s">
        <v>165</v>
      </c>
      <c r="C698" t="s">
        <v>131</v>
      </c>
      <c r="D698" t="s">
        <v>33</v>
      </c>
      <c r="E698" s="3">
        <v>3.4</v>
      </c>
      <c r="F698" s="3">
        <v>3.23</v>
      </c>
      <c r="G698">
        <v>2.02</v>
      </c>
      <c r="H698" s="3">
        <v>6.8679999999999994</v>
      </c>
      <c r="I698">
        <v>155</v>
      </c>
      <c r="J698">
        <v>2</v>
      </c>
      <c r="K698">
        <v>64</v>
      </c>
      <c r="L698" s="13">
        <f>(Table2[[#This Row],[STARTING INVENTORY]]-Table2[[#This Row],[ENDING INVENTORY]])/(Table2[[#This Row],[STARTING INVENTORY]])</f>
        <v>0.58709677419354833</v>
      </c>
      <c r="M698">
        <f>Table2[[#This Row],[STARTING INVENTORY]]-Table2[[#This Row],[ENDING INVENTORY]]</f>
        <v>91</v>
      </c>
    </row>
    <row r="699" spans="1:13">
      <c r="A699" t="s">
        <v>10</v>
      </c>
      <c r="B699" t="s">
        <v>165</v>
      </c>
      <c r="C699" t="s">
        <v>137</v>
      </c>
      <c r="D699" t="s">
        <v>33</v>
      </c>
      <c r="E699" s="3">
        <v>3.1</v>
      </c>
      <c r="F699" s="3">
        <v>2.9449999999999998</v>
      </c>
      <c r="G699">
        <v>1.95</v>
      </c>
      <c r="H699" s="3">
        <v>6.0449999999999999</v>
      </c>
      <c r="I699">
        <v>75</v>
      </c>
      <c r="J699">
        <v>3</v>
      </c>
      <c r="K699">
        <v>35</v>
      </c>
      <c r="L699" s="13">
        <f>(Table2[[#This Row],[STARTING INVENTORY]]-Table2[[#This Row],[ENDING INVENTORY]])/(Table2[[#This Row],[STARTING INVENTORY]])</f>
        <v>0.53333333333333333</v>
      </c>
      <c r="M699">
        <f>Table2[[#This Row],[STARTING INVENTORY]]-Table2[[#This Row],[ENDING INVENTORY]]</f>
        <v>40</v>
      </c>
    </row>
    <row r="700" spans="1:13">
      <c r="A700" t="s">
        <v>10</v>
      </c>
      <c r="B700" t="s">
        <v>165</v>
      </c>
      <c r="C700" t="s">
        <v>143</v>
      </c>
      <c r="D700" t="s">
        <v>33</v>
      </c>
      <c r="E700" s="3">
        <v>1.5</v>
      </c>
      <c r="F700" s="3">
        <v>1.4249999999999998</v>
      </c>
      <c r="G700">
        <v>1.99</v>
      </c>
      <c r="H700" s="3">
        <v>2.9849999999999999</v>
      </c>
      <c r="I700">
        <v>131</v>
      </c>
      <c r="J700">
        <v>7</v>
      </c>
      <c r="K700">
        <v>24</v>
      </c>
      <c r="L700" s="13">
        <f>(Table2[[#This Row],[STARTING INVENTORY]]-Table2[[#This Row],[ENDING INVENTORY]])/(Table2[[#This Row],[STARTING INVENTORY]])</f>
        <v>0.81679389312977102</v>
      </c>
      <c r="M700">
        <f>Table2[[#This Row],[STARTING INVENTORY]]-Table2[[#This Row],[ENDING INVENTORY]]</f>
        <v>107</v>
      </c>
    </row>
    <row r="701" spans="1:13">
      <c r="A701" t="s">
        <v>10</v>
      </c>
      <c r="B701" t="s">
        <v>165</v>
      </c>
      <c r="C701" t="s">
        <v>149</v>
      </c>
      <c r="D701" t="s">
        <v>33</v>
      </c>
      <c r="E701" s="3">
        <v>1.9</v>
      </c>
      <c r="F701" s="3">
        <v>1.8049999999999999</v>
      </c>
      <c r="G701">
        <v>1.99</v>
      </c>
      <c r="H701" s="3">
        <v>3.7809999999999997</v>
      </c>
      <c r="I701">
        <v>161</v>
      </c>
      <c r="J701">
        <v>2</v>
      </c>
      <c r="K701">
        <v>36</v>
      </c>
      <c r="L701" s="13">
        <f>(Table2[[#This Row],[STARTING INVENTORY]]-Table2[[#This Row],[ENDING INVENTORY]])/(Table2[[#This Row],[STARTING INVENTORY]])</f>
        <v>0.77639751552795033</v>
      </c>
      <c r="M701">
        <f>Table2[[#This Row],[STARTING INVENTORY]]-Table2[[#This Row],[ENDING INVENTORY]]</f>
        <v>125</v>
      </c>
    </row>
    <row r="702" spans="1:13">
      <c r="A702" t="s">
        <v>10</v>
      </c>
      <c r="B702" t="s">
        <v>166</v>
      </c>
      <c r="C702" t="s">
        <v>34</v>
      </c>
      <c r="D702" t="s">
        <v>33</v>
      </c>
      <c r="E702" s="3">
        <v>1.3</v>
      </c>
      <c r="F702" s="3">
        <v>1.2349999999999999</v>
      </c>
      <c r="G702">
        <v>2.0499999999999998</v>
      </c>
      <c r="H702" s="3">
        <v>2.665</v>
      </c>
      <c r="I702">
        <v>115</v>
      </c>
      <c r="J702">
        <v>2</v>
      </c>
      <c r="K702">
        <v>0</v>
      </c>
      <c r="L702" s="13">
        <f>(Table2[[#This Row],[STARTING INVENTORY]]-Table2[[#This Row],[ENDING INVENTORY]])/(Table2[[#This Row],[STARTING INVENTORY]])</f>
        <v>1</v>
      </c>
      <c r="M702">
        <f>Table2[[#This Row],[STARTING INVENTORY]]-Table2[[#This Row],[ENDING INVENTORY]]</f>
        <v>115</v>
      </c>
    </row>
    <row r="703" spans="1:13">
      <c r="A703" t="s">
        <v>10</v>
      </c>
      <c r="B703" t="s">
        <v>166</v>
      </c>
      <c r="C703" t="s">
        <v>40</v>
      </c>
      <c r="D703" t="s">
        <v>33</v>
      </c>
      <c r="E703" s="3">
        <v>1.6</v>
      </c>
      <c r="F703" s="3">
        <v>1.52</v>
      </c>
      <c r="G703">
        <v>2.0099999999999998</v>
      </c>
      <c r="H703" s="3">
        <v>3.2159999999999997</v>
      </c>
      <c r="I703">
        <v>63</v>
      </c>
      <c r="J703">
        <v>0</v>
      </c>
      <c r="K703">
        <v>14</v>
      </c>
      <c r="L703" s="13">
        <f>(Table2[[#This Row],[STARTING INVENTORY]]-Table2[[#This Row],[ENDING INVENTORY]])/(Table2[[#This Row],[STARTING INVENTORY]])</f>
        <v>0.77777777777777779</v>
      </c>
      <c r="M703">
        <f>Table2[[#This Row],[STARTING INVENTORY]]-Table2[[#This Row],[ENDING INVENTORY]]</f>
        <v>49</v>
      </c>
    </row>
    <row r="704" spans="1:13">
      <c r="A704" t="s">
        <v>10</v>
      </c>
      <c r="B704" t="s">
        <v>166</v>
      </c>
      <c r="C704" t="s">
        <v>46</v>
      </c>
      <c r="D704" t="s">
        <v>33</v>
      </c>
      <c r="E704" s="3">
        <v>1.35</v>
      </c>
      <c r="F704" s="3">
        <v>1.2825</v>
      </c>
      <c r="G704">
        <v>1.98</v>
      </c>
      <c r="H704" s="3">
        <v>2.673</v>
      </c>
      <c r="I704">
        <v>67</v>
      </c>
      <c r="J704">
        <v>4</v>
      </c>
      <c r="K704">
        <v>36</v>
      </c>
      <c r="L704" s="13">
        <f>(Table2[[#This Row],[STARTING INVENTORY]]-Table2[[#This Row],[ENDING INVENTORY]])/(Table2[[#This Row],[STARTING INVENTORY]])</f>
        <v>0.46268656716417911</v>
      </c>
      <c r="M704">
        <f>Table2[[#This Row],[STARTING INVENTORY]]-Table2[[#This Row],[ENDING INVENTORY]]</f>
        <v>31</v>
      </c>
    </row>
    <row r="705" spans="1:13">
      <c r="A705" t="s">
        <v>10</v>
      </c>
      <c r="B705" t="s">
        <v>166</v>
      </c>
      <c r="C705" t="s">
        <v>52</v>
      </c>
      <c r="D705" t="s">
        <v>33</v>
      </c>
      <c r="E705" s="3">
        <v>1.6</v>
      </c>
      <c r="F705" s="3">
        <v>1.52</v>
      </c>
      <c r="G705">
        <v>1.98</v>
      </c>
      <c r="H705" s="3">
        <v>3.1680000000000001</v>
      </c>
      <c r="I705">
        <v>47</v>
      </c>
      <c r="J705">
        <v>1</v>
      </c>
      <c r="K705">
        <v>12</v>
      </c>
      <c r="L705" s="13">
        <f>(Table2[[#This Row],[STARTING INVENTORY]]-Table2[[#This Row],[ENDING INVENTORY]])/(Table2[[#This Row],[STARTING INVENTORY]])</f>
        <v>0.74468085106382975</v>
      </c>
      <c r="M705">
        <f>Table2[[#This Row],[STARTING INVENTORY]]-Table2[[#This Row],[ENDING INVENTORY]]</f>
        <v>35</v>
      </c>
    </row>
    <row r="706" spans="1:13">
      <c r="A706" t="s">
        <v>10</v>
      </c>
      <c r="B706" t="s">
        <v>166</v>
      </c>
      <c r="C706" t="s">
        <v>58</v>
      </c>
      <c r="D706" t="s">
        <v>33</v>
      </c>
      <c r="E706" s="3">
        <v>2.1</v>
      </c>
      <c r="F706" s="3">
        <v>1.9949999999999999</v>
      </c>
      <c r="G706">
        <v>1.95</v>
      </c>
      <c r="H706" s="3">
        <v>4.0949999999999998</v>
      </c>
      <c r="I706">
        <v>131</v>
      </c>
      <c r="J706">
        <v>9</v>
      </c>
      <c r="K706">
        <v>103</v>
      </c>
      <c r="L706" s="13">
        <f>(Table2[[#This Row],[STARTING INVENTORY]]-Table2[[#This Row],[ENDING INVENTORY]])/(Table2[[#This Row],[STARTING INVENTORY]])</f>
        <v>0.21374045801526717</v>
      </c>
      <c r="M706">
        <f>Table2[[#This Row],[STARTING INVENTORY]]-Table2[[#This Row],[ENDING INVENTORY]]</f>
        <v>28</v>
      </c>
    </row>
    <row r="707" spans="1:13">
      <c r="A707" t="s">
        <v>10</v>
      </c>
      <c r="B707" t="s">
        <v>166</v>
      </c>
      <c r="C707" t="s">
        <v>64</v>
      </c>
      <c r="D707" t="s">
        <v>33</v>
      </c>
      <c r="E707" s="3">
        <v>1.85</v>
      </c>
      <c r="F707" s="3">
        <v>1.7575000000000001</v>
      </c>
      <c r="G707">
        <v>2</v>
      </c>
      <c r="H707" s="3">
        <v>3.7</v>
      </c>
      <c r="I707">
        <v>75</v>
      </c>
      <c r="J707">
        <v>5</v>
      </c>
      <c r="K707">
        <v>7</v>
      </c>
      <c r="L707" s="13">
        <f>(Table2[[#This Row],[STARTING INVENTORY]]-Table2[[#This Row],[ENDING INVENTORY]])/(Table2[[#This Row],[STARTING INVENTORY]])</f>
        <v>0.90666666666666662</v>
      </c>
      <c r="M707">
        <f>Table2[[#This Row],[STARTING INVENTORY]]-Table2[[#This Row],[ENDING INVENTORY]]</f>
        <v>68</v>
      </c>
    </row>
    <row r="708" spans="1:13">
      <c r="A708" t="s">
        <v>10</v>
      </c>
      <c r="B708" t="s">
        <v>166</v>
      </c>
      <c r="C708" t="s">
        <v>70</v>
      </c>
      <c r="D708" t="s">
        <v>33</v>
      </c>
      <c r="E708" s="3">
        <v>1.55</v>
      </c>
      <c r="F708" s="3">
        <v>1.4724999999999999</v>
      </c>
      <c r="G708">
        <v>1.98</v>
      </c>
      <c r="H708" s="3">
        <v>3.069</v>
      </c>
      <c r="I708">
        <v>129</v>
      </c>
      <c r="J708">
        <v>2</v>
      </c>
      <c r="K708">
        <v>4</v>
      </c>
      <c r="L708" s="13">
        <f>(Table2[[#This Row],[STARTING INVENTORY]]-Table2[[#This Row],[ENDING INVENTORY]])/(Table2[[#This Row],[STARTING INVENTORY]])</f>
        <v>0.96899224806201545</v>
      </c>
      <c r="M708">
        <f>Table2[[#This Row],[STARTING INVENTORY]]-Table2[[#This Row],[ENDING INVENTORY]]</f>
        <v>125</v>
      </c>
    </row>
    <row r="709" spans="1:13">
      <c r="A709" t="s">
        <v>10</v>
      </c>
      <c r="B709" t="s">
        <v>166</v>
      </c>
      <c r="C709" t="s">
        <v>76</v>
      </c>
      <c r="D709" t="s">
        <v>33</v>
      </c>
      <c r="E709" s="3">
        <v>1.55</v>
      </c>
      <c r="F709" s="3">
        <v>1.4724999999999999</v>
      </c>
      <c r="G709">
        <v>2.09</v>
      </c>
      <c r="H709" s="3">
        <v>3.2395</v>
      </c>
      <c r="I709">
        <v>47</v>
      </c>
      <c r="J709">
        <v>0</v>
      </c>
      <c r="K709">
        <v>8</v>
      </c>
      <c r="L709" s="13">
        <f>(Table2[[#This Row],[STARTING INVENTORY]]-Table2[[#This Row],[ENDING INVENTORY]])/(Table2[[#This Row],[STARTING INVENTORY]])</f>
        <v>0.82978723404255317</v>
      </c>
      <c r="M709">
        <f>Table2[[#This Row],[STARTING INVENTORY]]-Table2[[#This Row],[ENDING INVENTORY]]</f>
        <v>39</v>
      </c>
    </row>
    <row r="710" spans="1:13">
      <c r="A710" t="s">
        <v>10</v>
      </c>
      <c r="B710" t="s">
        <v>166</v>
      </c>
      <c r="C710" t="s">
        <v>82</v>
      </c>
      <c r="D710" t="s">
        <v>33</v>
      </c>
      <c r="E710" s="3">
        <v>1.75</v>
      </c>
      <c r="F710" s="3">
        <v>1.6624999999999999</v>
      </c>
      <c r="G710">
        <v>2.06</v>
      </c>
      <c r="H710" s="3">
        <v>3.605</v>
      </c>
      <c r="I710">
        <v>97</v>
      </c>
      <c r="J710">
        <v>6</v>
      </c>
      <c r="K710">
        <v>0</v>
      </c>
      <c r="L710" s="13">
        <f>(Table2[[#This Row],[STARTING INVENTORY]]-Table2[[#This Row],[ENDING INVENTORY]])/(Table2[[#This Row],[STARTING INVENTORY]])</f>
        <v>1</v>
      </c>
      <c r="M710">
        <f>Table2[[#This Row],[STARTING INVENTORY]]-Table2[[#This Row],[ENDING INVENTORY]]</f>
        <v>97</v>
      </c>
    </row>
    <row r="711" spans="1:13">
      <c r="A711" t="s">
        <v>10</v>
      </c>
      <c r="B711" t="s">
        <v>166</v>
      </c>
      <c r="C711" t="s">
        <v>88</v>
      </c>
      <c r="D711" t="s">
        <v>33</v>
      </c>
      <c r="E711" s="3">
        <v>2.2000000000000002</v>
      </c>
      <c r="F711" s="3">
        <v>2.09</v>
      </c>
      <c r="G711">
        <v>2.0700000000000003</v>
      </c>
      <c r="H711" s="3">
        <v>4.5540000000000012</v>
      </c>
      <c r="I711">
        <v>99</v>
      </c>
      <c r="J711">
        <v>5</v>
      </c>
      <c r="K711">
        <v>35</v>
      </c>
      <c r="L711" s="13">
        <f>(Table2[[#This Row],[STARTING INVENTORY]]-Table2[[#This Row],[ENDING INVENTORY]])/(Table2[[#This Row],[STARTING INVENTORY]])</f>
        <v>0.64646464646464652</v>
      </c>
      <c r="M711">
        <f>Table2[[#This Row],[STARTING INVENTORY]]-Table2[[#This Row],[ENDING INVENTORY]]</f>
        <v>64</v>
      </c>
    </row>
    <row r="712" spans="1:13">
      <c r="A712" t="s">
        <v>10</v>
      </c>
      <c r="B712" t="s">
        <v>166</v>
      </c>
      <c r="C712" t="s">
        <v>94</v>
      </c>
      <c r="D712" t="s">
        <v>33</v>
      </c>
      <c r="E712" s="3">
        <v>2.75</v>
      </c>
      <c r="F712" s="3">
        <v>2.6124999999999998</v>
      </c>
      <c r="G712">
        <v>1.98</v>
      </c>
      <c r="H712" s="3">
        <v>5.4450000000000003</v>
      </c>
      <c r="I712">
        <v>89</v>
      </c>
      <c r="J712">
        <v>0</v>
      </c>
      <c r="K712">
        <v>34</v>
      </c>
      <c r="L712" s="13">
        <f>(Table2[[#This Row],[STARTING INVENTORY]]-Table2[[#This Row],[ENDING INVENTORY]])/(Table2[[#This Row],[STARTING INVENTORY]])</f>
        <v>0.6179775280898876</v>
      </c>
      <c r="M712">
        <f>Table2[[#This Row],[STARTING INVENTORY]]-Table2[[#This Row],[ENDING INVENTORY]]</f>
        <v>55</v>
      </c>
    </row>
    <row r="713" spans="1:13">
      <c r="A713" t="s">
        <v>10</v>
      </c>
      <c r="B713" t="s">
        <v>166</v>
      </c>
      <c r="C713" t="s">
        <v>100</v>
      </c>
      <c r="D713" t="s">
        <v>33</v>
      </c>
      <c r="E713" s="3">
        <v>2.4</v>
      </c>
      <c r="F713" s="3">
        <v>2.2799999999999998</v>
      </c>
      <c r="G713">
        <v>2</v>
      </c>
      <c r="H713" s="3">
        <v>4.8</v>
      </c>
      <c r="I713">
        <v>67</v>
      </c>
      <c r="J713">
        <v>1</v>
      </c>
      <c r="K713">
        <v>65</v>
      </c>
      <c r="L713" s="13">
        <f>(Table2[[#This Row],[STARTING INVENTORY]]-Table2[[#This Row],[ENDING INVENTORY]])/(Table2[[#This Row],[STARTING INVENTORY]])</f>
        <v>2.9850746268656716E-2</v>
      </c>
      <c r="M713">
        <f>Table2[[#This Row],[STARTING INVENTORY]]-Table2[[#This Row],[ENDING INVENTORY]]</f>
        <v>2</v>
      </c>
    </row>
    <row r="714" spans="1:13">
      <c r="A714" t="s">
        <v>10</v>
      </c>
      <c r="B714" t="s">
        <v>166</v>
      </c>
      <c r="C714" t="s">
        <v>106</v>
      </c>
      <c r="D714" t="s">
        <v>33</v>
      </c>
      <c r="E714" s="3">
        <v>2.7</v>
      </c>
      <c r="F714" s="3">
        <v>2.5649999999999999</v>
      </c>
      <c r="G714">
        <v>1.97</v>
      </c>
      <c r="H714" s="3">
        <v>5.319</v>
      </c>
      <c r="I714">
        <v>131</v>
      </c>
      <c r="J714">
        <v>5</v>
      </c>
      <c r="K714">
        <v>62</v>
      </c>
      <c r="L714" s="13">
        <f>(Table2[[#This Row],[STARTING INVENTORY]]-Table2[[#This Row],[ENDING INVENTORY]])/(Table2[[#This Row],[STARTING INVENTORY]])</f>
        <v>0.52671755725190839</v>
      </c>
      <c r="M714">
        <f>Table2[[#This Row],[STARTING INVENTORY]]-Table2[[#This Row],[ENDING INVENTORY]]</f>
        <v>69</v>
      </c>
    </row>
    <row r="715" spans="1:13">
      <c r="A715" t="s">
        <v>10</v>
      </c>
      <c r="B715" t="s">
        <v>166</v>
      </c>
      <c r="C715" t="s">
        <v>112</v>
      </c>
      <c r="D715" t="s">
        <v>33</v>
      </c>
      <c r="E715" s="3">
        <v>2.6</v>
      </c>
      <c r="F715" s="3">
        <v>2.4699999999999998</v>
      </c>
      <c r="G715">
        <v>2.1</v>
      </c>
      <c r="H715" s="3">
        <v>5.4600000000000009</v>
      </c>
      <c r="I715">
        <v>140</v>
      </c>
      <c r="J715">
        <v>0</v>
      </c>
      <c r="K715">
        <v>103</v>
      </c>
      <c r="L715" s="13">
        <f>(Table2[[#This Row],[STARTING INVENTORY]]-Table2[[#This Row],[ENDING INVENTORY]])/(Table2[[#This Row],[STARTING INVENTORY]])</f>
        <v>0.26428571428571429</v>
      </c>
      <c r="M715">
        <f>Table2[[#This Row],[STARTING INVENTORY]]-Table2[[#This Row],[ENDING INVENTORY]]</f>
        <v>37</v>
      </c>
    </row>
    <row r="716" spans="1:13">
      <c r="A716" t="s">
        <v>10</v>
      </c>
      <c r="B716" t="s">
        <v>166</v>
      </c>
      <c r="C716" t="s">
        <v>118</v>
      </c>
      <c r="D716" t="s">
        <v>33</v>
      </c>
      <c r="E716" s="3">
        <v>4</v>
      </c>
      <c r="F716" s="3">
        <v>3.8</v>
      </c>
      <c r="G716">
        <v>2.0700000000000003</v>
      </c>
      <c r="H716" s="3">
        <v>8.2800000000000011</v>
      </c>
      <c r="I716">
        <v>80</v>
      </c>
      <c r="J716">
        <v>7</v>
      </c>
      <c r="K716">
        <v>22</v>
      </c>
      <c r="L716" s="13">
        <f>(Table2[[#This Row],[STARTING INVENTORY]]-Table2[[#This Row],[ENDING INVENTORY]])/(Table2[[#This Row],[STARTING INVENTORY]])</f>
        <v>0.72499999999999998</v>
      </c>
      <c r="M716">
        <f>Table2[[#This Row],[STARTING INVENTORY]]-Table2[[#This Row],[ENDING INVENTORY]]</f>
        <v>58</v>
      </c>
    </row>
    <row r="717" spans="1:13">
      <c r="A717" t="s">
        <v>10</v>
      </c>
      <c r="B717" t="s">
        <v>166</v>
      </c>
      <c r="C717" t="s">
        <v>124</v>
      </c>
      <c r="D717" t="s">
        <v>33</v>
      </c>
      <c r="E717" s="3">
        <v>4.25</v>
      </c>
      <c r="F717" s="3">
        <v>4.0374999999999996</v>
      </c>
      <c r="G717">
        <v>2.06</v>
      </c>
      <c r="H717" s="3">
        <v>8.7550000000000008</v>
      </c>
      <c r="I717">
        <v>139</v>
      </c>
      <c r="J717">
        <v>1</v>
      </c>
      <c r="K717">
        <v>8</v>
      </c>
      <c r="L717" s="13">
        <f>(Table2[[#This Row],[STARTING INVENTORY]]-Table2[[#This Row],[ENDING INVENTORY]])/(Table2[[#This Row],[STARTING INVENTORY]])</f>
        <v>0.94244604316546765</v>
      </c>
      <c r="M717">
        <f>Table2[[#This Row],[STARTING INVENTORY]]-Table2[[#This Row],[ENDING INVENTORY]]</f>
        <v>131</v>
      </c>
    </row>
    <row r="718" spans="1:13">
      <c r="A718" t="s">
        <v>10</v>
      </c>
      <c r="B718" t="s">
        <v>166</v>
      </c>
      <c r="C718" t="s">
        <v>130</v>
      </c>
      <c r="D718" t="s">
        <v>33</v>
      </c>
      <c r="E718" s="3">
        <v>5</v>
      </c>
      <c r="F718" s="3">
        <v>4.75</v>
      </c>
      <c r="G718">
        <v>2.08</v>
      </c>
      <c r="H718" s="3">
        <v>10.4</v>
      </c>
      <c r="I718">
        <v>103</v>
      </c>
      <c r="J718">
        <v>0</v>
      </c>
      <c r="K718">
        <v>33</v>
      </c>
      <c r="L718" s="13">
        <f>(Table2[[#This Row],[STARTING INVENTORY]]-Table2[[#This Row],[ENDING INVENTORY]])/(Table2[[#This Row],[STARTING INVENTORY]])</f>
        <v>0.67961165048543692</v>
      </c>
      <c r="M718">
        <f>Table2[[#This Row],[STARTING INVENTORY]]-Table2[[#This Row],[ENDING INVENTORY]]</f>
        <v>70</v>
      </c>
    </row>
    <row r="719" spans="1:13">
      <c r="A719" t="s">
        <v>10</v>
      </c>
      <c r="B719" t="s">
        <v>166</v>
      </c>
      <c r="C719" t="s">
        <v>136</v>
      </c>
      <c r="D719" t="s">
        <v>33</v>
      </c>
      <c r="E719" s="3">
        <v>3</v>
      </c>
      <c r="F719" s="3">
        <v>2.8499999999999996</v>
      </c>
      <c r="G719">
        <v>2.0300000000000002</v>
      </c>
      <c r="H719" s="3">
        <v>6.0900000000000007</v>
      </c>
      <c r="I719">
        <v>66</v>
      </c>
      <c r="J719">
        <v>5</v>
      </c>
      <c r="K719">
        <v>45</v>
      </c>
      <c r="L719" s="13">
        <f>(Table2[[#This Row],[STARTING INVENTORY]]-Table2[[#This Row],[ENDING INVENTORY]])/(Table2[[#This Row],[STARTING INVENTORY]])</f>
        <v>0.31818181818181818</v>
      </c>
      <c r="M719">
        <f>Table2[[#This Row],[STARTING INVENTORY]]-Table2[[#This Row],[ENDING INVENTORY]]</f>
        <v>21</v>
      </c>
    </row>
    <row r="720" spans="1:13">
      <c r="A720" t="s">
        <v>10</v>
      </c>
      <c r="B720" t="s">
        <v>166</v>
      </c>
      <c r="C720" t="s">
        <v>142</v>
      </c>
      <c r="D720" t="s">
        <v>33</v>
      </c>
      <c r="E720" s="3">
        <v>2.4</v>
      </c>
      <c r="F720" s="3">
        <v>2.2799999999999998</v>
      </c>
      <c r="G720">
        <v>2.0499999999999998</v>
      </c>
      <c r="H720" s="3">
        <v>4.919999999999999</v>
      </c>
      <c r="I720">
        <v>102</v>
      </c>
      <c r="J720">
        <v>1</v>
      </c>
      <c r="K720">
        <v>77</v>
      </c>
      <c r="L720" s="13">
        <f>(Table2[[#This Row],[STARTING INVENTORY]]-Table2[[#This Row],[ENDING INVENTORY]])/(Table2[[#This Row],[STARTING INVENTORY]])</f>
        <v>0.24509803921568626</v>
      </c>
      <c r="M720">
        <f>Table2[[#This Row],[STARTING INVENTORY]]-Table2[[#This Row],[ENDING INVENTORY]]</f>
        <v>25</v>
      </c>
    </row>
    <row r="721" spans="1:13">
      <c r="A721" t="s">
        <v>10</v>
      </c>
      <c r="B721" t="s">
        <v>166</v>
      </c>
      <c r="C721" t="s">
        <v>148</v>
      </c>
      <c r="D721" t="s">
        <v>33</v>
      </c>
      <c r="E721" s="3">
        <v>3.25</v>
      </c>
      <c r="F721" s="3">
        <v>3.0874999999999999</v>
      </c>
      <c r="G721">
        <v>2.02</v>
      </c>
      <c r="H721" s="3">
        <v>6.5650000000000004</v>
      </c>
      <c r="I721">
        <v>56</v>
      </c>
      <c r="J721">
        <v>2</v>
      </c>
      <c r="K721">
        <v>3</v>
      </c>
      <c r="L721" s="13">
        <f>(Table2[[#This Row],[STARTING INVENTORY]]-Table2[[#This Row],[ENDING INVENTORY]])/(Table2[[#This Row],[STARTING INVENTORY]])</f>
        <v>0.9464285714285714</v>
      </c>
      <c r="M721">
        <f>Table2[[#This Row],[STARTING INVENTORY]]-Table2[[#This Row],[ENDING INVENTORY]]</f>
        <v>53</v>
      </c>
    </row>
    <row r="722" spans="1:13">
      <c r="A722" t="s">
        <v>11</v>
      </c>
      <c r="B722" t="s">
        <v>161</v>
      </c>
      <c r="C722" t="s">
        <v>28</v>
      </c>
      <c r="D722" t="s">
        <v>29</v>
      </c>
      <c r="E722" s="3">
        <v>0.35</v>
      </c>
      <c r="F722" s="3">
        <v>0.3745</v>
      </c>
      <c r="G722">
        <v>1.97</v>
      </c>
      <c r="H722" s="3">
        <v>0.6895</v>
      </c>
      <c r="I722">
        <v>190</v>
      </c>
      <c r="J722">
        <v>0</v>
      </c>
      <c r="K722">
        <v>157</v>
      </c>
      <c r="L722" s="13">
        <f>(Table2[[#This Row],[STARTING INVENTORY]]-Table2[[#This Row],[ENDING INVENTORY]])/(Table2[[#This Row],[STARTING INVENTORY]])</f>
        <v>0.1736842105263158</v>
      </c>
      <c r="M722">
        <f>Table2[[#This Row],[STARTING INVENTORY]]-Table2[[#This Row],[ENDING INVENTORY]]</f>
        <v>33</v>
      </c>
    </row>
    <row r="723" spans="1:13">
      <c r="A723" t="s">
        <v>11</v>
      </c>
      <c r="B723" t="s">
        <v>161</v>
      </c>
      <c r="C723" t="s">
        <v>36</v>
      </c>
      <c r="D723" t="s">
        <v>29</v>
      </c>
      <c r="E723" s="3">
        <v>0.85</v>
      </c>
      <c r="F723" s="3">
        <v>0.90949999999999998</v>
      </c>
      <c r="G723">
        <v>1.97</v>
      </c>
      <c r="H723" s="3">
        <v>1.6744999999999999</v>
      </c>
      <c r="I723">
        <v>95</v>
      </c>
      <c r="J723">
        <v>0</v>
      </c>
      <c r="K723">
        <v>94</v>
      </c>
      <c r="L723" s="13">
        <f>(Table2[[#This Row],[STARTING INVENTORY]]-Table2[[#This Row],[ENDING INVENTORY]])/(Table2[[#This Row],[STARTING INVENTORY]])</f>
        <v>1.0526315789473684E-2</v>
      </c>
      <c r="M723">
        <f>Table2[[#This Row],[STARTING INVENTORY]]-Table2[[#This Row],[ENDING INVENTORY]]</f>
        <v>1</v>
      </c>
    </row>
    <row r="724" spans="1:13">
      <c r="A724" t="s">
        <v>11</v>
      </c>
      <c r="B724" t="s">
        <v>161</v>
      </c>
      <c r="C724" t="s">
        <v>42</v>
      </c>
      <c r="D724" t="s">
        <v>29</v>
      </c>
      <c r="E724" s="3">
        <v>0.7</v>
      </c>
      <c r="F724" s="3">
        <v>0.749</v>
      </c>
      <c r="G724">
        <v>1.95</v>
      </c>
      <c r="H724" s="3">
        <v>1.365</v>
      </c>
      <c r="I724">
        <v>84</v>
      </c>
      <c r="J724">
        <v>3</v>
      </c>
      <c r="K724">
        <v>74</v>
      </c>
      <c r="L724" s="13">
        <f>(Table2[[#This Row],[STARTING INVENTORY]]-Table2[[#This Row],[ENDING INVENTORY]])/(Table2[[#This Row],[STARTING INVENTORY]])</f>
        <v>0.11904761904761904</v>
      </c>
      <c r="M724">
        <f>Table2[[#This Row],[STARTING INVENTORY]]-Table2[[#This Row],[ENDING INVENTORY]]</f>
        <v>10</v>
      </c>
    </row>
    <row r="725" spans="1:13">
      <c r="A725" t="s">
        <v>11</v>
      </c>
      <c r="B725" t="s">
        <v>161</v>
      </c>
      <c r="C725" t="s">
        <v>48</v>
      </c>
      <c r="D725" t="s">
        <v>33</v>
      </c>
      <c r="E725" s="3">
        <v>0.35</v>
      </c>
      <c r="F725" s="3">
        <v>0.3745</v>
      </c>
      <c r="G725">
        <v>2.0499999999999998</v>
      </c>
      <c r="H725" s="3">
        <v>0.71749999999999992</v>
      </c>
      <c r="I725">
        <v>183</v>
      </c>
      <c r="J725">
        <v>2</v>
      </c>
      <c r="K725">
        <v>98</v>
      </c>
      <c r="L725" s="13">
        <f>(Table2[[#This Row],[STARTING INVENTORY]]-Table2[[#This Row],[ENDING INVENTORY]])/(Table2[[#This Row],[STARTING INVENTORY]])</f>
        <v>0.46448087431693991</v>
      </c>
      <c r="M725">
        <f>Table2[[#This Row],[STARTING INVENTORY]]-Table2[[#This Row],[ENDING INVENTORY]]</f>
        <v>85</v>
      </c>
    </row>
    <row r="726" spans="1:13">
      <c r="A726" t="s">
        <v>11</v>
      </c>
      <c r="B726" t="s">
        <v>161</v>
      </c>
      <c r="C726" t="s">
        <v>54</v>
      </c>
      <c r="D726" t="s">
        <v>33</v>
      </c>
      <c r="E726" s="3">
        <v>0.2</v>
      </c>
      <c r="F726" s="3">
        <v>0.21400000000000002</v>
      </c>
      <c r="G726">
        <v>2.08</v>
      </c>
      <c r="H726" s="3">
        <v>0.41600000000000004</v>
      </c>
      <c r="I726">
        <v>131</v>
      </c>
      <c r="J726">
        <v>2</v>
      </c>
      <c r="K726">
        <v>71</v>
      </c>
      <c r="L726" s="13">
        <f>(Table2[[#This Row],[STARTING INVENTORY]]-Table2[[#This Row],[ENDING INVENTORY]])/(Table2[[#This Row],[STARTING INVENTORY]])</f>
        <v>0.4580152671755725</v>
      </c>
      <c r="M726">
        <f>Table2[[#This Row],[STARTING INVENTORY]]-Table2[[#This Row],[ENDING INVENTORY]]</f>
        <v>60</v>
      </c>
    </row>
    <row r="727" spans="1:13">
      <c r="A727" t="s">
        <v>11</v>
      </c>
      <c r="B727" t="s">
        <v>161</v>
      </c>
      <c r="C727" t="s">
        <v>60</v>
      </c>
      <c r="D727" t="s">
        <v>33</v>
      </c>
      <c r="E727" s="3">
        <v>0.75</v>
      </c>
      <c r="F727" s="3">
        <v>0.80249999999999999</v>
      </c>
      <c r="G727">
        <v>2.0099999999999998</v>
      </c>
      <c r="H727" s="3">
        <v>1.5074999999999998</v>
      </c>
      <c r="I727">
        <v>164</v>
      </c>
      <c r="J727">
        <v>5</v>
      </c>
      <c r="K727">
        <v>2</v>
      </c>
      <c r="L727" s="13">
        <f>(Table2[[#This Row],[STARTING INVENTORY]]-Table2[[#This Row],[ENDING INVENTORY]])/(Table2[[#This Row],[STARTING INVENTORY]])</f>
        <v>0.98780487804878048</v>
      </c>
      <c r="M727">
        <f>Table2[[#This Row],[STARTING INVENTORY]]-Table2[[#This Row],[ENDING INVENTORY]]</f>
        <v>162</v>
      </c>
    </row>
    <row r="728" spans="1:13">
      <c r="A728" t="s">
        <v>11</v>
      </c>
      <c r="B728" t="s">
        <v>161</v>
      </c>
      <c r="C728" t="s">
        <v>66</v>
      </c>
      <c r="D728" t="s">
        <v>29</v>
      </c>
      <c r="E728" s="3">
        <v>0.6</v>
      </c>
      <c r="F728" s="3">
        <v>0.64200000000000002</v>
      </c>
      <c r="G728">
        <v>2.02</v>
      </c>
      <c r="H728" s="3">
        <v>1.212</v>
      </c>
      <c r="I728">
        <v>96</v>
      </c>
      <c r="J728">
        <v>3</v>
      </c>
      <c r="K728">
        <v>13</v>
      </c>
      <c r="L728" s="13">
        <f>(Table2[[#This Row],[STARTING INVENTORY]]-Table2[[#This Row],[ENDING INVENTORY]])/(Table2[[#This Row],[STARTING INVENTORY]])</f>
        <v>0.86458333333333337</v>
      </c>
      <c r="M728">
        <f>Table2[[#This Row],[STARTING INVENTORY]]-Table2[[#This Row],[ENDING INVENTORY]]</f>
        <v>83</v>
      </c>
    </row>
    <row r="729" spans="1:13">
      <c r="A729" t="s">
        <v>11</v>
      </c>
      <c r="B729" t="s">
        <v>161</v>
      </c>
      <c r="C729" t="s">
        <v>72</v>
      </c>
      <c r="D729" t="s">
        <v>29</v>
      </c>
      <c r="E729" s="3">
        <v>0.45</v>
      </c>
      <c r="F729" s="3">
        <v>0.48150000000000004</v>
      </c>
      <c r="G729">
        <v>2.08</v>
      </c>
      <c r="H729" s="3">
        <v>0.93600000000000005</v>
      </c>
      <c r="I729">
        <v>59</v>
      </c>
      <c r="J729">
        <v>0</v>
      </c>
      <c r="K729">
        <v>59</v>
      </c>
      <c r="L729" s="13">
        <f>(Table2[[#This Row],[STARTING INVENTORY]]-Table2[[#This Row],[ENDING INVENTORY]])/(Table2[[#This Row],[STARTING INVENTORY]])</f>
        <v>0</v>
      </c>
      <c r="M729">
        <f>Table2[[#This Row],[STARTING INVENTORY]]-Table2[[#This Row],[ENDING INVENTORY]]</f>
        <v>0</v>
      </c>
    </row>
    <row r="730" spans="1:13">
      <c r="A730" t="s">
        <v>11</v>
      </c>
      <c r="B730" t="s">
        <v>161</v>
      </c>
      <c r="C730" t="s">
        <v>78</v>
      </c>
      <c r="D730" t="s">
        <v>29</v>
      </c>
      <c r="E730" s="3">
        <v>0.4</v>
      </c>
      <c r="F730" s="3">
        <v>0.42800000000000005</v>
      </c>
      <c r="G730">
        <v>2.02</v>
      </c>
      <c r="H730" s="3">
        <v>0.80800000000000005</v>
      </c>
      <c r="I730">
        <v>105</v>
      </c>
      <c r="J730">
        <v>1</v>
      </c>
      <c r="K730">
        <v>76</v>
      </c>
      <c r="L730" s="13">
        <f>(Table2[[#This Row],[STARTING INVENTORY]]-Table2[[#This Row],[ENDING INVENTORY]])/(Table2[[#This Row],[STARTING INVENTORY]])</f>
        <v>0.27619047619047621</v>
      </c>
      <c r="M730">
        <f>Table2[[#This Row],[STARTING INVENTORY]]-Table2[[#This Row],[ENDING INVENTORY]]</f>
        <v>29</v>
      </c>
    </row>
    <row r="731" spans="1:13">
      <c r="A731" t="s">
        <v>11</v>
      </c>
      <c r="B731" t="s">
        <v>161</v>
      </c>
      <c r="C731" t="s">
        <v>84</v>
      </c>
      <c r="D731" t="s">
        <v>29</v>
      </c>
      <c r="E731" s="3">
        <v>0.35</v>
      </c>
      <c r="F731" s="3">
        <v>0.3745</v>
      </c>
      <c r="G731">
        <v>1.98</v>
      </c>
      <c r="H731" s="3">
        <v>0.69299999999999995</v>
      </c>
      <c r="I731">
        <v>79</v>
      </c>
      <c r="J731">
        <v>7</v>
      </c>
      <c r="K731">
        <v>44</v>
      </c>
      <c r="L731" s="13">
        <f>(Table2[[#This Row],[STARTING INVENTORY]]-Table2[[#This Row],[ENDING INVENTORY]])/(Table2[[#This Row],[STARTING INVENTORY]])</f>
        <v>0.44303797468354428</v>
      </c>
      <c r="M731">
        <f>Table2[[#This Row],[STARTING INVENTORY]]-Table2[[#This Row],[ENDING INVENTORY]]</f>
        <v>35</v>
      </c>
    </row>
    <row r="732" spans="1:13">
      <c r="A732" t="s">
        <v>11</v>
      </c>
      <c r="B732" t="s">
        <v>161</v>
      </c>
      <c r="C732" t="s">
        <v>90</v>
      </c>
      <c r="D732" t="s">
        <v>29</v>
      </c>
      <c r="E732" s="3">
        <v>0.9</v>
      </c>
      <c r="F732" s="3">
        <v>0.96300000000000008</v>
      </c>
      <c r="G732">
        <v>2.0300000000000002</v>
      </c>
      <c r="H732" s="3">
        <v>1.8270000000000002</v>
      </c>
      <c r="I732">
        <v>158</v>
      </c>
      <c r="J732">
        <v>4</v>
      </c>
      <c r="K732">
        <v>33</v>
      </c>
      <c r="L732" s="13">
        <f>(Table2[[#This Row],[STARTING INVENTORY]]-Table2[[#This Row],[ENDING INVENTORY]])/(Table2[[#This Row],[STARTING INVENTORY]])</f>
        <v>0.79113924050632911</v>
      </c>
      <c r="M732">
        <f>Table2[[#This Row],[STARTING INVENTORY]]-Table2[[#This Row],[ENDING INVENTORY]]</f>
        <v>125</v>
      </c>
    </row>
    <row r="733" spans="1:13">
      <c r="A733" t="s">
        <v>11</v>
      </c>
      <c r="B733" t="s">
        <v>161</v>
      </c>
      <c r="C733" t="s">
        <v>96</v>
      </c>
      <c r="D733" t="s">
        <v>33</v>
      </c>
      <c r="E733" s="3">
        <v>1</v>
      </c>
      <c r="F733" s="3">
        <v>1.07</v>
      </c>
      <c r="G733">
        <v>1.99</v>
      </c>
      <c r="H733" s="3">
        <v>1.99</v>
      </c>
      <c r="I733">
        <v>54</v>
      </c>
      <c r="J733">
        <v>2</v>
      </c>
      <c r="K733">
        <v>44</v>
      </c>
      <c r="L733" s="13">
        <f>(Table2[[#This Row],[STARTING INVENTORY]]-Table2[[#This Row],[ENDING INVENTORY]])/(Table2[[#This Row],[STARTING INVENTORY]])</f>
        <v>0.18518518518518517</v>
      </c>
      <c r="M733">
        <f>Table2[[#This Row],[STARTING INVENTORY]]-Table2[[#This Row],[ENDING INVENTORY]]</f>
        <v>10</v>
      </c>
    </row>
    <row r="734" spans="1:13">
      <c r="A734" t="s">
        <v>11</v>
      </c>
      <c r="B734" t="s">
        <v>161</v>
      </c>
      <c r="C734" t="s">
        <v>102</v>
      </c>
      <c r="D734" t="s">
        <v>29</v>
      </c>
      <c r="E734" s="3">
        <v>2.56</v>
      </c>
      <c r="F734" s="3">
        <v>2.7392000000000003</v>
      </c>
      <c r="G734">
        <v>2.06</v>
      </c>
      <c r="H734" s="3">
        <v>5.2736000000000001</v>
      </c>
      <c r="I734">
        <v>168</v>
      </c>
      <c r="J734">
        <v>1</v>
      </c>
      <c r="K734">
        <v>60</v>
      </c>
      <c r="L734" s="13">
        <f>(Table2[[#This Row],[STARTING INVENTORY]]-Table2[[#This Row],[ENDING INVENTORY]])/(Table2[[#This Row],[STARTING INVENTORY]])</f>
        <v>0.6428571428571429</v>
      </c>
      <c r="M734">
        <f>Table2[[#This Row],[STARTING INVENTORY]]-Table2[[#This Row],[ENDING INVENTORY]]</f>
        <v>108</v>
      </c>
    </row>
    <row r="735" spans="1:13">
      <c r="A735" t="s">
        <v>11</v>
      </c>
      <c r="B735" t="s">
        <v>161</v>
      </c>
      <c r="C735" t="s">
        <v>108</v>
      </c>
      <c r="D735" t="s">
        <v>29</v>
      </c>
      <c r="E735" s="3">
        <v>0.75</v>
      </c>
      <c r="F735" s="3">
        <v>0.80249999999999999</v>
      </c>
      <c r="G735">
        <v>2.04</v>
      </c>
      <c r="H735" s="3">
        <v>1.53</v>
      </c>
      <c r="I735">
        <v>82</v>
      </c>
      <c r="J735">
        <v>1</v>
      </c>
      <c r="K735">
        <v>15</v>
      </c>
      <c r="L735" s="13">
        <f>(Table2[[#This Row],[STARTING INVENTORY]]-Table2[[#This Row],[ENDING INVENTORY]])/(Table2[[#This Row],[STARTING INVENTORY]])</f>
        <v>0.81707317073170727</v>
      </c>
      <c r="M735">
        <f>Table2[[#This Row],[STARTING INVENTORY]]-Table2[[#This Row],[ENDING INVENTORY]]</f>
        <v>67</v>
      </c>
    </row>
    <row r="736" spans="1:13">
      <c r="A736" t="s">
        <v>11</v>
      </c>
      <c r="B736" t="s">
        <v>161</v>
      </c>
      <c r="C736" t="s">
        <v>114</v>
      </c>
      <c r="D736" t="s">
        <v>33</v>
      </c>
      <c r="E736" s="3">
        <v>0.4</v>
      </c>
      <c r="F736" s="3">
        <v>0.42800000000000005</v>
      </c>
      <c r="G736">
        <v>2.06</v>
      </c>
      <c r="H736" s="3">
        <v>0.82400000000000007</v>
      </c>
      <c r="I736">
        <v>167</v>
      </c>
      <c r="J736">
        <v>4</v>
      </c>
      <c r="K736">
        <v>65</v>
      </c>
      <c r="L736" s="13">
        <f>(Table2[[#This Row],[STARTING INVENTORY]]-Table2[[#This Row],[ENDING INVENTORY]])/(Table2[[#This Row],[STARTING INVENTORY]])</f>
        <v>0.6107784431137725</v>
      </c>
      <c r="M736">
        <f>Table2[[#This Row],[STARTING INVENTORY]]-Table2[[#This Row],[ENDING INVENTORY]]</f>
        <v>102</v>
      </c>
    </row>
    <row r="737" spans="1:13">
      <c r="A737" t="s">
        <v>11</v>
      </c>
      <c r="B737" t="s">
        <v>161</v>
      </c>
      <c r="C737" t="s">
        <v>120</v>
      </c>
      <c r="D737" t="s">
        <v>29</v>
      </c>
      <c r="E737" s="3">
        <v>1.4</v>
      </c>
      <c r="F737" s="3">
        <v>1.498</v>
      </c>
      <c r="G737">
        <v>2.0300000000000002</v>
      </c>
      <c r="H737" s="3">
        <v>2.8420000000000001</v>
      </c>
      <c r="I737">
        <v>114</v>
      </c>
      <c r="J737">
        <v>6</v>
      </c>
      <c r="K737">
        <v>39</v>
      </c>
      <c r="L737" s="13">
        <f>(Table2[[#This Row],[STARTING INVENTORY]]-Table2[[#This Row],[ENDING INVENTORY]])/(Table2[[#This Row],[STARTING INVENTORY]])</f>
        <v>0.65789473684210531</v>
      </c>
      <c r="M737">
        <f>Table2[[#This Row],[STARTING INVENTORY]]-Table2[[#This Row],[ENDING INVENTORY]]</f>
        <v>75</v>
      </c>
    </row>
    <row r="738" spans="1:13">
      <c r="A738" t="s">
        <v>11</v>
      </c>
      <c r="B738" t="s">
        <v>161</v>
      </c>
      <c r="C738" t="s">
        <v>126</v>
      </c>
      <c r="D738" t="s">
        <v>29</v>
      </c>
      <c r="E738" s="3">
        <v>2</v>
      </c>
      <c r="F738" s="3">
        <v>2.14</v>
      </c>
      <c r="G738">
        <v>1.98</v>
      </c>
      <c r="H738" s="3">
        <v>3.96</v>
      </c>
      <c r="I738">
        <v>195</v>
      </c>
      <c r="J738">
        <v>3</v>
      </c>
      <c r="K738">
        <v>144</v>
      </c>
      <c r="L738" s="13">
        <f>(Table2[[#This Row],[STARTING INVENTORY]]-Table2[[#This Row],[ENDING INVENTORY]])/(Table2[[#This Row],[STARTING INVENTORY]])</f>
        <v>0.26153846153846155</v>
      </c>
      <c r="M738">
        <f>Table2[[#This Row],[STARTING INVENTORY]]-Table2[[#This Row],[ENDING INVENTORY]]</f>
        <v>51</v>
      </c>
    </row>
    <row r="739" spans="1:13">
      <c r="A739" t="s">
        <v>11</v>
      </c>
      <c r="B739" t="s">
        <v>161</v>
      </c>
      <c r="C739" t="s">
        <v>132</v>
      </c>
      <c r="D739" t="s">
        <v>29</v>
      </c>
      <c r="E739" s="3">
        <v>0.45</v>
      </c>
      <c r="F739" s="3">
        <v>0.48150000000000004</v>
      </c>
      <c r="G739">
        <v>1.96</v>
      </c>
      <c r="H739" s="3">
        <v>0.88200000000000001</v>
      </c>
      <c r="I739">
        <v>60</v>
      </c>
      <c r="J739">
        <v>5</v>
      </c>
      <c r="K739">
        <v>54</v>
      </c>
      <c r="L739" s="13">
        <f>(Table2[[#This Row],[STARTING INVENTORY]]-Table2[[#This Row],[ENDING INVENTORY]])/(Table2[[#This Row],[STARTING INVENTORY]])</f>
        <v>0.1</v>
      </c>
      <c r="M739">
        <f>Table2[[#This Row],[STARTING INVENTORY]]-Table2[[#This Row],[ENDING INVENTORY]]</f>
        <v>6</v>
      </c>
    </row>
    <row r="740" spans="1:13">
      <c r="A740" t="s">
        <v>11</v>
      </c>
      <c r="B740" t="s">
        <v>161</v>
      </c>
      <c r="C740" t="s">
        <v>138</v>
      </c>
      <c r="D740" t="s">
        <v>33</v>
      </c>
      <c r="E740" s="3">
        <v>1.9</v>
      </c>
      <c r="F740" s="3">
        <v>2.0329999999999999</v>
      </c>
      <c r="G740">
        <v>1.95</v>
      </c>
      <c r="H740" s="3">
        <v>3.7049999999999996</v>
      </c>
      <c r="I740">
        <v>134</v>
      </c>
      <c r="J740">
        <v>4</v>
      </c>
      <c r="K740">
        <v>123</v>
      </c>
      <c r="L740" s="13">
        <f>(Table2[[#This Row],[STARTING INVENTORY]]-Table2[[#This Row],[ENDING INVENTORY]])/(Table2[[#This Row],[STARTING INVENTORY]])</f>
        <v>8.2089552238805971E-2</v>
      </c>
      <c r="M740">
        <f>Table2[[#This Row],[STARTING INVENTORY]]-Table2[[#This Row],[ENDING INVENTORY]]</f>
        <v>11</v>
      </c>
    </row>
    <row r="741" spans="1:13">
      <c r="A741" t="s">
        <v>11</v>
      </c>
      <c r="B741" t="s">
        <v>161</v>
      </c>
      <c r="C741" t="s">
        <v>144</v>
      </c>
      <c r="D741" t="s">
        <v>33</v>
      </c>
      <c r="E741" s="3">
        <v>4</v>
      </c>
      <c r="F741" s="3">
        <v>4.28</v>
      </c>
      <c r="G741">
        <v>2.0700000000000003</v>
      </c>
      <c r="H741" s="3">
        <v>8.2800000000000011</v>
      </c>
      <c r="I741">
        <v>75</v>
      </c>
      <c r="J741">
        <v>0</v>
      </c>
      <c r="K741">
        <v>15</v>
      </c>
      <c r="L741" s="13">
        <f>(Table2[[#This Row],[STARTING INVENTORY]]-Table2[[#This Row],[ENDING INVENTORY]])/(Table2[[#This Row],[STARTING INVENTORY]])</f>
        <v>0.8</v>
      </c>
      <c r="M741">
        <f>Table2[[#This Row],[STARTING INVENTORY]]-Table2[[#This Row],[ENDING INVENTORY]]</f>
        <v>60</v>
      </c>
    </row>
    <row r="742" spans="1:13">
      <c r="A742" t="s">
        <v>11</v>
      </c>
      <c r="B742" t="s">
        <v>162</v>
      </c>
      <c r="C742" t="s">
        <v>30</v>
      </c>
      <c r="D742" t="s">
        <v>29</v>
      </c>
      <c r="E742" s="3">
        <v>2.85</v>
      </c>
      <c r="F742" s="3">
        <v>3.0495000000000001</v>
      </c>
      <c r="G742">
        <v>1.97</v>
      </c>
      <c r="H742" s="3">
        <v>5.6145000000000005</v>
      </c>
      <c r="I742">
        <v>82</v>
      </c>
      <c r="J742">
        <v>1</v>
      </c>
      <c r="K742">
        <v>59</v>
      </c>
      <c r="L742" s="13">
        <f>(Table2[[#This Row],[STARTING INVENTORY]]-Table2[[#This Row],[ENDING INVENTORY]])/(Table2[[#This Row],[STARTING INVENTORY]])</f>
        <v>0.28048780487804881</v>
      </c>
      <c r="M742">
        <f>Table2[[#This Row],[STARTING INVENTORY]]-Table2[[#This Row],[ENDING INVENTORY]]</f>
        <v>23</v>
      </c>
    </row>
    <row r="743" spans="1:13">
      <c r="A743" t="s">
        <v>11</v>
      </c>
      <c r="B743" t="s">
        <v>162</v>
      </c>
      <c r="C743" t="s">
        <v>37</v>
      </c>
      <c r="D743" t="s">
        <v>29</v>
      </c>
      <c r="E743" s="3">
        <v>2.5</v>
      </c>
      <c r="F743" s="3">
        <v>2.6750000000000003</v>
      </c>
      <c r="G743">
        <v>2.0099999999999998</v>
      </c>
      <c r="H743" s="3">
        <v>5.0249999999999995</v>
      </c>
      <c r="I743">
        <v>78</v>
      </c>
      <c r="J743">
        <v>0</v>
      </c>
      <c r="K743">
        <v>65</v>
      </c>
      <c r="L743" s="13">
        <f>(Table2[[#This Row],[STARTING INVENTORY]]-Table2[[#This Row],[ENDING INVENTORY]])/(Table2[[#This Row],[STARTING INVENTORY]])</f>
        <v>0.16666666666666666</v>
      </c>
      <c r="M743">
        <f>Table2[[#This Row],[STARTING INVENTORY]]-Table2[[#This Row],[ENDING INVENTORY]]</f>
        <v>13</v>
      </c>
    </row>
    <row r="744" spans="1:13">
      <c r="A744" t="s">
        <v>11</v>
      </c>
      <c r="B744" t="s">
        <v>162</v>
      </c>
      <c r="C744" t="s">
        <v>43</v>
      </c>
      <c r="D744" t="s">
        <v>29</v>
      </c>
      <c r="E744" s="3">
        <v>2.1</v>
      </c>
      <c r="F744" s="3">
        <v>2.2470000000000003</v>
      </c>
      <c r="G744">
        <v>2.09</v>
      </c>
      <c r="H744" s="3">
        <v>4.3890000000000002</v>
      </c>
      <c r="I744">
        <v>46</v>
      </c>
      <c r="J744">
        <v>0</v>
      </c>
      <c r="K744">
        <v>1</v>
      </c>
      <c r="L744" s="13">
        <f>(Table2[[#This Row],[STARTING INVENTORY]]-Table2[[#This Row],[ENDING INVENTORY]])/(Table2[[#This Row],[STARTING INVENTORY]])</f>
        <v>0.97826086956521741</v>
      </c>
      <c r="M744">
        <f>Table2[[#This Row],[STARTING INVENTORY]]-Table2[[#This Row],[ENDING INVENTORY]]</f>
        <v>45</v>
      </c>
    </row>
    <row r="745" spans="1:13">
      <c r="A745" t="s">
        <v>11</v>
      </c>
      <c r="B745" t="s">
        <v>162</v>
      </c>
      <c r="C745" t="s">
        <v>49</v>
      </c>
      <c r="D745" t="s">
        <v>29</v>
      </c>
      <c r="E745" s="3">
        <v>1</v>
      </c>
      <c r="F745" s="3">
        <v>1.07</v>
      </c>
      <c r="G745">
        <v>2.0099999999999998</v>
      </c>
      <c r="H745" s="3">
        <v>2.0099999999999998</v>
      </c>
      <c r="I745">
        <v>68</v>
      </c>
      <c r="J745">
        <v>6</v>
      </c>
      <c r="K745">
        <v>25</v>
      </c>
      <c r="L745" s="13">
        <f>(Table2[[#This Row],[STARTING INVENTORY]]-Table2[[#This Row],[ENDING INVENTORY]])/(Table2[[#This Row],[STARTING INVENTORY]])</f>
        <v>0.63235294117647056</v>
      </c>
      <c r="M745">
        <f>Table2[[#This Row],[STARTING INVENTORY]]-Table2[[#This Row],[ENDING INVENTORY]]</f>
        <v>43</v>
      </c>
    </row>
    <row r="746" spans="1:13">
      <c r="A746" t="s">
        <v>11</v>
      </c>
      <c r="B746" t="s">
        <v>162</v>
      </c>
      <c r="C746" t="s">
        <v>55</v>
      </c>
      <c r="D746" t="s">
        <v>29</v>
      </c>
      <c r="E746" s="3">
        <v>0.9</v>
      </c>
      <c r="F746" s="3">
        <v>0.96300000000000008</v>
      </c>
      <c r="G746">
        <v>2.0700000000000003</v>
      </c>
      <c r="H746" s="3">
        <v>1.8630000000000002</v>
      </c>
      <c r="I746">
        <v>96</v>
      </c>
      <c r="J746">
        <v>2</v>
      </c>
      <c r="K746">
        <v>12</v>
      </c>
      <c r="L746" s="13">
        <f>(Table2[[#This Row],[STARTING INVENTORY]]-Table2[[#This Row],[ENDING INVENTORY]])/(Table2[[#This Row],[STARTING INVENTORY]])</f>
        <v>0.875</v>
      </c>
      <c r="M746">
        <f>Table2[[#This Row],[STARTING INVENTORY]]-Table2[[#This Row],[ENDING INVENTORY]]</f>
        <v>84</v>
      </c>
    </row>
    <row r="747" spans="1:13">
      <c r="A747" t="s">
        <v>11</v>
      </c>
      <c r="B747" t="s">
        <v>162</v>
      </c>
      <c r="C747" t="s">
        <v>61</v>
      </c>
      <c r="D747" t="s">
        <v>29</v>
      </c>
      <c r="E747" s="3">
        <v>1.9</v>
      </c>
      <c r="F747" s="3">
        <v>2.0329999999999999</v>
      </c>
      <c r="G747">
        <v>2.04</v>
      </c>
      <c r="H747" s="3">
        <v>3.8759999999999999</v>
      </c>
      <c r="I747">
        <v>52</v>
      </c>
      <c r="J747">
        <v>2</v>
      </c>
      <c r="K747">
        <v>46</v>
      </c>
      <c r="L747" s="13">
        <f>(Table2[[#This Row],[STARTING INVENTORY]]-Table2[[#This Row],[ENDING INVENTORY]])/(Table2[[#This Row],[STARTING INVENTORY]])</f>
        <v>0.11538461538461539</v>
      </c>
      <c r="M747">
        <f>Table2[[#This Row],[STARTING INVENTORY]]-Table2[[#This Row],[ENDING INVENTORY]]</f>
        <v>6</v>
      </c>
    </row>
    <row r="748" spans="1:13">
      <c r="A748" t="s">
        <v>11</v>
      </c>
      <c r="B748" t="s">
        <v>162</v>
      </c>
      <c r="C748" t="s">
        <v>67</v>
      </c>
      <c r="D748" t="s">
        <v>29</v>
      </c>
      <c r="E748" s="3">
        <v>1.3</v>
      </c>
      <c r="F748" s="3">
        <v>1.3910000000000002</v>
      </c>
      <c r="G748">
        <v>2.08</v>
      </c>
      <c r="H748" s="3">
        <v>2.7040000000000002</v>
      </c>
      <c r="I748">
        <v>20</v>
      </c>
      <c r="J748">
        <v>0</v>
      </c>
      <c r="K748">
        <v>1</v>
      </c>
      <c r="L748" s="13">
        <f>(Table2[[#This Row],[STARTING INVENTORY]]-Table2[[#This Row],[ENDING INVENTORY]])/(Table2[[#This Row],[STARTING INVENTORY]])</f>
        <v>0.95</v>
      </c>
      <c r="M748">
        <f>Table2[[#This Row],[STARTING INVENTORY]]-Table2[[#This Row],[ENDING INVENTORY]]</f>
        <v>19</v>
      </c>
    </row>
    <row r="749" spans="1:13">
      <c r="A749" t="s">
        <v>11</v>
      </c>
      <c r="B749" t="s">
        <v>162</v>
      </c>
      <c r="C749" t="s">
        <v>73</v>
      </c>
      <c r="D749" t="s">
        <v>29</v>
      </c>
      <c r="E749" s="3">
        <v>4</v>
      </c>
      <c r="F749" s="3">
        <v>4.28</v>
      </c>
      <c r="G749">
        <v>2.0499999999999998</v>
      </c>
      <c r="H749" s="3">
        <v>8.1999999999999993</v>
      </c>
      <c r="I749">
        <v>40</v>
      </c>
      <c r="J749">
        <v>1</v>
      </c>
      <c r="K749">
        <v>38</v>
      </c>
      <c r="L749" s="13">
        <f>(Table2[[#This Row],[STARTING INVENTORY]]-Table2[[#This Row],[ENDING INVENTORY]])/(Table2[[#This Row],[STARTING INVENTORY]])</f>
        <v>0.05</v>
      </c>
      <c r="M749">
        <f>Table2[[#This Row],[STARTING INVENTORY]]-Table2[[#This Row],[ENDING INVENTORY]]</f>
        <v>2</v>
      </c>
    </row>
    <row r="750" spans="1:13">
      <c r="A750" t="s">
        <v>11</v>
      </c>
      <c r="B750" t="s">
        <v>162</v>
      </c>
      <c r="C750" t="s">
        <v>79</v>
      </c>
      <c r="D750" t="s">
        <v>29</v>
      </c>
      <c r="E750" s="3">
        <v>2.2000000000000002</v>
      </c>
      <c r="F750" s="3">
        <v>2.3540000000000005</v>
      </c>
      <c r="G750">
        <v>2</v>
      </c>
      <c r="H750" s="3">
        <v>4.4000000000000004</v>
      </c>
      <c r="I750">
        <v>74</v>
      </c>
      <c r="J750">
        <v>0</v>
      </c>
      <c r="K750">
        <v>66</v>
      </c>
      <c r="L750" s="13">
        <f>(Table2[[#This Row],[STARTING INVENTORY]]-Table2[[#This Row],[ENDING INVENTORY]])/(Table2[[#This Row],[STARTING INVENTORY]])</f>
        <v>0.10810810810810811</v>
      </c>
      <c r="M750">
        <f>Table2[[#This Row],[STARTING INVENTORY]]-Table2[[#This Row],[ENDING INVENTORY]]</f>
        <v>8</v>
      </c>
    </row>
    <row r="751" spans="1:13">
      <c r="A751" t="s">
        <v>11</v>
      </c>
      <c r="B751" t="s">
        <v>162</v>
      </c>
      <c r="C751" t="s">
        <v>85</v>
      </c>
      <c r="D751" t="s">
        <v>29</v>
      </c>
      <c r="E751" s="3">
        <v>2.75</v>
      </c>
      <c r="F751" s="3">
        <v>2.9425000000000003</v>
      </c>
      <c r="G751">
        <v>2.09</v>
      </c>
      <c r="H751" s="3">
        <v>5.7474999999999996</v>
      </c>
      <c r="I751">
        <v>25</v>
      </c>
      <c r="J751">
        <v>0</v>
      </c>
      <c r="K751">
        <v>7</v>
      </c>
      <c r="L751" s="13">
        <f>(Table2[[#This Row],[STARTING INVENTORY]]-Table2[[#This Row],[ENDING INVENTORY]])/(Table2[[#This Row],[STARTING INVENTORY]])</f>
        <v>0.72</v>
      </c>
      <c r="M751">
        <f>Table2[[#This Row],[STARTING INVENTORY]]-Table2[[#This Row],[ENDING INVENTORY]]</f>
        <v>18</v>
      </c>
    </row>
    <row r="752" spans="1:13">
      <c r="A752" t="s">
        <v>11</v>
      </c>
      <c r="B752" t="s">
        <v>162</v>
      </c>
      <c r="C752" t="s">
        <v>91</v>
      </c>
      <c r="D752" t="s">
        <v>29</v>
      </c>
      <c r="E752" s="3">
        <v>3.5</v>
      </c>
      <c r="F752" s="3">
        <v>3.7450000000000001</v>
      </c>
      <c r="G752">
        <v>2.06</v>
      </c>
      <c r="H752" s="3">
        <v>7.21</v>
      </c>
      <c r="I752">
        <v>88</v>
      </c>
      <c r="J752">
        <v>3</v>
      </c>
      <c r="K752">
        <v>77</v>
      </c>
      <c r="L752" s="13">
        <f>(Table2[[#This Row],[STARTING INVENTORY]]-Table2[[#This Row],[ENDING INVENTORY]])/(Table2[[#This Row],[STARTING INVENTORY]])</f>
        <v>0.125</v>
      </c>
      <c r="M752">
        <f>Table2[[#This Row],[STARTING INVENTORY]]-Table2[[#This Row],[ENDING INVENTORY]]</f>
        <v>11</v>
      </c>
    </row>
    <row r="753" spans="1:13">
      <c r="A753" t="s">
        <v>11</v>
      </c>
      <c r="B753" t="s">
        <v>162</v>
      </c>
      <c r="C753" t="s">
        <v>97</v>
      </c>
      <c r="D753" t="s">
        <v>29</v>
      </c>
      <c r="E753" s="3">
        <v>8</v>
      </c>
      <c r="F753" s="3">
        <v>8.56</v>
      </c>
      <c r="G753">
        <v>2.02</v>
      </c>
      <c r="H753" s="3">
        <v>16.16</v>
      </c>
      <c r="I753">
        <v>24</v>
      </c>
      <c r="J753">
        <v>1</v>
      </c>
      <c r="K753">
        <v>23</v>
      </c>
      <c r="L753" s="13">
        <f>(Table2[[#This Row],[STARTING INVENTORY]]-Table2[[#This Row],[ENDING INVENTORY]])/(Table2[[#This Row],[STARTING INVENTORY]])</f>
        <v>4.1666666666666664E-2</v>
      </c>
      <c r="M753">
        <f>Table2[[#This Row],[STARTING INVENTORY]]-Table2[[#This Row],[ENDING INVENTORY]]</f>
        <v>1</v>
      </c>
    </row>
    <row r="754" spans="1:13">
      <c r="A754" t="s">
        <v>11</v>
      </c>
      <c r="B754" t="s">
        <v>162</v>
      </c>
      <c r="C754" t="s">
        <v>103</v>
      </c>
      <c r="D754" t="s">
        <v>29</v>
      </c>
      <c r="E754" s="3">
        <v>7</v>
      </c>
      <c r="F754" s="3">
        <v>7.49</v>
      </c>
      <c r="G754">
        <v>2.06</v>
      </c>
      <c r="H754" s="3">
        <v>14.42</v>
      </c>
      <c r="I754">
        <v>22</v>
      </c>
      <c r="J754">
        <v>3</v>
      </c>
      <c r="K754">
        <v>6</v>
      </c>
      <c r="L754" s="13">
        <f>(Table2[[#This Row],[STARTING INVENTORY]]-Table2[[#This Row],[ENDING INVENTORY]])/(Table2[[#This Row],[STARTING INVENTORY]])</f>
        <v>0.72727272727272729</v>
      </c>
      <c r="M754">
        <f>Table2[[#This Row],[STARTING INVENTORY]]-Table2[[#This Row],[ENDING INVENTORY]]</f>
        <v>16</v>
      </c>
    </row>
    <row r="755" spans="1:13">
      <c r="A755" t="s">
        <v>11</v>
      </c>
      <c r="B755" t="s">
        <v>162</v>
      </c>
      <c r="C755" t="s">
        <v>109</v>
      </c>
      <c r="D755" t="s">
        <v>29</v>
      </c>
      <c r="E755" s="3">
        <v>1.8</v>
      </c>
      <c r="F755" s="3">
        <v>1.9260000000000002</v>
      </c>
      <c r="G755">
        <v>2.02</v>
      </c>
      <c r="H755" s="3">
        <v>3.6360000000000001</v>
      </c>
      <c r="I755">
        <v>72</v>
      </c>
      <c r="J755">
        <v>0</v>
      </c>
      <c r="K755">
        <v>52</v>
      </c>
      <c r="L755" s="13">
        <f>(Table2[[#This Row],[STARTING INVENTORY]]-Table2[[#This Row],[ENDING INVENTORY]])/(Table2[[#This Row],[STARTING INVENTORY]])</f>
        <v>0.27777777777777779</v>
      </c>
      <c r="M755">
        <f>Table2[[#This Row],[STARTING INVENTORY]]-Table2[[#This Row],[ENDING INVENTORY]]</f>
        <v>20</v>
      </c>
    </row>
    <row r="756" spans="1:13">
      <c r="A756" t="s">
        <v>11</v>
      </c>
      <c r="B756" t="s">
        <v>162</v>
      </c>
      <c r="C756" t="s">
        <v>115</v>
      </c>
      <c r="D756" t="s">
        <v>29</v>
      </c>
      <c r="E756" s="3">
        <v>9</v>
      </c>
      <c r="F756" s="3">
        <v>9.6300000000000008</v>
      </c>
      <c r="G756">
        <v>2.0099999999999998</v>
      </c>
      <c r="H756" s="3">
        <v>18.089999999999996</v>
      </c>
      <c r="I756">
        <v>42</v>
      </c>
      <c r="J756">
        <v>0</v>
      </c>
      <c r="K756">
        <v>38</v>
      </c>
      <c r="L756" s="13">
        <f>(Table2[[#This Row],[STARTING INVENTORY]]-Table2[[#This Row],[ENDING INVENTORY]])/(Table2[[#This Row],[STARTING INVENTORY]])</f>
        <v>9.5238095238095233E-2</v>
      </c>
      <c r="M756">
        <f>Table2[[#This Row],[STARTING INVENTORY]]-Table2[[#This Row],[ENDING INVENTORY]]</f>
        <v>4</v>
      </c>
    </row>
    <row r="757" spans="1:13">
      <c r="A757" t="s">
        <v>11</v>
      </c>
      <c r="B757" t="s">
        <v>162</v>
      </c>
      <c r="C757" t="s">
        <v>121</v>
      </c>
      <c r="D757" t="s">
        <v>29</v>
      </c>
      <c r="E757" s="3">
        <v>0.95</v>
      </c>
      <c r="F757" s="3">
        <v>1.0165</v>
      </c>
      <c r="G757">
        <v>2.0700000000000003</v>
      </c>
      <c r="H757" s="3">
        <v>1.9665000000000001</v>
      </c>
      <c r="I757">
        <v>72</v>
      </c>
      <c r="J757">
        <v>1</v>
      </c>
      <c r="K757">
        <v>64</v>
      </c>
      <c r="L757" s="13">
        <f>(Table2[[#This Row],[STARTING INVENTORY]]-Table2[[#This Row],[ENDING INVENTORY]])/(Table2[[#This Row],[STARTING INVENTORY]])</f>
        <v>0.1111111111111111</v>
      </c>
      <c r="M757">
        <f>Table2[[#This Row],[STARTING INVENTORY]]-Table2[[#This Row],[ENDING INVENTORY]]</f>
        <v>8</v>
      </c>
    </row>
    <row r="758" spans="1:13">
      <c r="A758" t="s">
        <v>11</v>
      </c>
      <c r="B758" t="s">
        <v>162</v>
      </c>
      <c r="C758" t="s">
        <v>127</v>
      </c>
      <c r="D758" t="s">
        <v>29</v>
      </c>
      <c r="E758" s="3">
        <v>1.85</v>
      </c>
      <c r="F758" s="3">
        <v>1.9795000000000003</v>
      </c>
      <c r="G758">
        <v>2.0499999999999998</v>
      </c>
      <c r="H758" s="3">
        <v>3.7925</v>
      </c>
      <c r="I758">
        <v>56</v>
      </c>
      <c r="J758">
        <v>2</v>
      </c>
      <c r="K758">
        <v>16</v>
      </c>
      <c r="L758" s="13">
        <f>(Table2[[#This Row],[STARTING INVENTORY]]-Table2[[#This Row],[ENDING INVENTORY]])/(Table2[[#This Row],[STARTING INVENTORY]])</f>
        <v>0.7142857142857143</v>
      </c>
      <c r="M758">
        <f>Table2[[#This Row],[STARTING INVENTORY]]-Table2[[#This Row],[ENDING INVENTORY]]</f>
        <v>40</v>
      </c>
    </row>
    <row r="759" spans="1:13">
      <c r="A759" t="s">
        <v>11</v>
      </c>
      <c r="B759" t="s">
        <v>162</v>
      </c>
      <c r="C759" t="s">
        <v>133</v>
      </c>
      <c r="D759" t="s">
        <v>29</v>
      </c>
      <c r="E759" s="3">
        <v>5.5</v>
      </c>
      <c r="F759" s="3">
        <v>5.8850000000000007</v>
      </c>
      <c r="G759">
        <v>1.99</v>
      </c>
      <c r="H759" s="3">
        <v>10.945</v>
      </c>
      <c r="I759">
        <v>93</v>
      </c>
      <c r="J759">
        <v>3</v>
      </c>
      <c r="K759">
        <v>29</v>
      </c>
      <c r="L759" s="13">
        <f>(Table2[[#This Row],[STARTING INVENTORY]]-Table2[[#This Row],[ENDING INVENTORY]])/(Table2[[#This Row],[STARTING INVENTORY]])</f>
        <v>0.68817204301075274</v>
      </c>
      <c r="M759">
        <f>Table2[[#This Row],[STARTING INVENTORY]]-Table2[[#This Row],[ENDING INVENTORY]]</f>
        <v>64</v>
      </c>
    </row>
    <row r="760" spans="1:13">
      <c r="A760" t="s">
        <v>11</v>
      </c>
      <c r="B760" t="s">
        <v>162</v>
      </c>
      <c r="C760" t="s">
        <v>139</v>
      </c>
      <c r="D760" t="s">
        <v>29</v>
      </c>
      <c r="E760" s="3">
        <v>1.9</v>
      </c>
      <c r="F760" s="3">
        <v>2.0329999999999999</v>
      </c>
      <c r="G760">
        <v>2.0099999999999998</v>
      </c>
      <c r="H760" s="3">
        <v>3.8189999999999995</v>
      </c>
      <c r="I760">
        <v>93</v>
      </c>
      <c r="J760">
        <v>1</v>
      </c>
      <c r="K760">
        <v>52</v>
      </c>
      <c r="L760" s="13">
        <f>(Table2[[#This Row],[STARTING INVENTORY]]-Table2[[#This Row],[ENDING INVENTORY]])/(Table2[[#This Row],[STARTING INVENTORY]])</f>
        <v>0.44086021505376344</v>
      </c>
      <c r="M760">
        <f>Table2[[#This Row],[STARTING INVENTORY]]-Table2[[#This Row],[ENDING INVENTORY]]</f>
        <v>41</v>
      </c>
    </row>
    <row r="761" spans="1:13">
      <c r="A761" t="s">
        <v>11</v>
      </c>
      <c r="B761" t="s">
        <v>162</v>
      </c>
      <c r="C761" t="s">
        <v>145</v>
      </c>
      <c r="D761" t="s">
        <v>29</v>
      </c>
      <c r="E761" s="3">
        <v>2.75</v>
      </c>
      <c r="F761" s="3">
        <v>2.9425000000000003</v>
      </c>
      <c r="G761">
        <v>2.06</v>
      </c>
      <c r="H761" s="3">
        <v>5.665</v>
      </c>
      <c r="I761">
        <v>36</v>
      </c>
      <c r="J761">
        <v>1</v>
      </c>
      <c r="K761">
        <v>12</v>
      </c>
      <c r="L761" s="13">
        <f>(Table2[[#This Row],[STARTING INVENTORY]]-Table2[[#This Row],[ENDING INVENTORY]])/(Table2[[#This Row],[STARTING INVENTORY]])</f>
        <v>0.66666666666666663</v>
      </c>
      <c r="M761">
        <f>Table2[[#This Row],[STARTING INVENTORY]]-Table2[[#This Row],[ENDING INVENTORY]]</f>
        <v>24</v>
      </c>
    </row>
    <row r="762" spans="1:13">
      <c r="A762" t="s">
        <v>11</v>
      </c>
      <c r="B762" t="s">
        <v>163</v>
      </c>
      <c r="C762" t="s">
        <v>32</v>
      </c>
      <c r="D762" t="s">
        <v>33</v>
      </c>
      <c r="E762" s="3">
        <v>3.25</v>
      </c>
      <c r="F762" s="3">
        <v>3.4775</v>
      </c>
      <c r="G762">
        <v>2.0300000000000002</v>
      </c>
      <c r="H762" s="3">
        <v>6.597500000000001</v>
      </c>
      <c r="I762">
        <v>134</v>
      </c>
      <c r="J762">
        <v>4</v>
      </c>
      <c r="K762">
        <v>20</v>
      </c>
      <c r="L762" s="13">
        <f>(Table2[[#This Row],[STARTING INVENTORY]]-Table2[[#This Row],[ENDING INVENTORY]])/(Table2[[#This Row],[STARTING INVENTORY]])</f>
        <v>0.85074626865671643</v>
      </c>
      <c r="M762">
        <f>Table2[[#This Row],[STARTING INVENTORY]]-Table2[[#This Row],[ENDING INVENTORY]]</f>
        <v>114</v>
      </c>
    </row>
    <row r="763" spans="1:13">
      <c r="A763" t="s">
        <v>11</v>
      </c>
      <c r="B763" t="s">
        <v>163</v>
      </c>
      <c r="C763" t="s">
        <v>39</v>
      </c>
      <c r="D763" t="s">
        <v>33</v>
      </c>
      <c r="E763" s="3">
        <v>0.9</v>
      </c>
      <c r="F763" s="3">
        <v>0.96300000000000008</v>
      </c>
      <c r="G763">
        <v>1.97</v>
      </c>
      <c r="H763" s="3">
        <v>1.7729999999999999</v>
      </c>
      <c r="I763">
        <v>127</v>
      </c>
      <c r="J763">
        <v>0</v>
      </c>
      <c r="K763">
        <v>18</v>
      </c>
      <c r="L763" s="13">
        <f>(Table2[[#This Row],[STARTING INVENTORY]]-Table2[[#This Row],[ENDING INVENTORY]])/(Table2[[#This Row],[STARTING INVENTORY]])</f>
        <v>0.8582677165354331</v>
      </c>
      <c r="M763">
        <f>Table2[[#This Row],[STARTING INVENTORY]]-Table2[[#This Row],[ENDING INVENTORY]]</f>
        <v>109</v>
      </c>
    </row>
    <row r="764" spans="1:13">
      <c r="A764" t="s">
        <v>11</v>
      </c>
      <c r="B764" t="s">
        <v>163</v>
      </c>
      <c r="C764" t="s">
        <v>45</v>
      </c>
      <c r="D764" t="s">
        <v>33</v>
      </c>
      <c r="E764" s="3">
        <v>1.6</v>
      </c>
      <c r="F764" s="3">
        <v>1.7120000000000002</v>
      </c>
      <c r="G764">
        <v>2.1</v>
      </c>
      <c r="H764" s="3">
        <v>3.3600000000000003</v>
      </c>
      <c r="I764">
        <v>122</v>
      </c>
      <c r="J764">
        <v>1</v>
      </c>
      <c r="K764">
        <v>52</v>
      </c>
      <c r="L764" s="13">
        <f>(Table2[[#This Row],[STARTING INVENTORY]]-Table2[[#This Row],[ENDING INVENTORY]])/(Table2[[#This Row],[STARTING INVENTORY]])</f>
        <v>0.57377049180327866</v>
      </c>
      <c r="M764">
        <f>Table2[[#This Row],[STARTING INVENTORY]]-Table2[[#This Row],[ENDING INVENTORY]]</f>
        <v>70</v>
      </c>
    </row>
    <row r="765" spans="1:13">
      <c r="A765" t="s">
        <v>11</v>
      </c>
      <c r="B765" t="s">
        <v>163</v>
      </c>
      <c r="C765" t="s">
        <v>51</v>
      </c>
      <c r="D765" t="s">
        <v>33</v>
      </c>
      <c r="E765" s="3">
        <v>1.1000000000000001</v>
      </c>
      <c r="F765" s="3">
        <v>1.1770000000000003</v>
      </c>
      <c r="G765">
        <v>2.06</v>
      </c>
      <c r="H765" s="3">
        <v>2.2660000000000005</v>
      </c>
      <c r="I765">
        <v>159</v>
      </c>
      <c r="J765">
        <v>5</v>
      </c>
      <c r="K765">
        <v>18</v>
      </c>
      <c r="L765" s="13">
        <f>(Table2[[#This Row],[STARTING INVENTORY]]-Table2[[#This Row],[ENDING INVENTORY]])/(Table2[[#This Row],[STARTING INVENTORY]])</f>
        <v>0.8867924528301887</v>
      </c>
      <c r="M765">
        <f>Table2[[#This Row],[STARTING INVENTORY]]-Table2[[#This Row],[ENDING INVENTORY]]</f>
        <v>141</v>
      </c>
    </row>
    <row r="766" spans="1:13">
      <c r="A766" t="s">
        <v>11</v>
      </c>
      <c r="B766" t="s">
        <v>163</v>
      </c>
      <c r="C766" t="s">
        <v>57</v>
      </c>
      <c r="D766" t="s">
        <v>33</v>
      </c>
      <c r="E766" s="3">
        <v>0.95</v>
      </c>
      <c r="F766" s="3">
        <v>1.0165</v>
      </c>
      <c r="G766">
        <v>1.98</v>
      </c>
      <c r="H766" s="3">
        <v>1.881</v>
      </c>
      <c r="I766">
        <v>50</v>
      </c>
      <c r="J766">
        <v>3</v>
      </c>
      <c r="K766">
        <v>24</v>
      </c>
      <c r="L766" s="13">
        <f>(Table2[[#This Row],[STARTING INVENTORY]]-Table2[[#This Row],[ENDING INVENTORY]])/(Table2[[#This Row],[STARTING INVENTORY]])</f>
        <v>0.52</v>
      </c>
      <c r="M766">
        <f>Table2[[#This Row],[STARTING INVENTORY]]-Table2[[#This Row],[ENDING INVENTORY]]</f>
        <v>26</v>
      </c>
    </row>
    <row r="767" spans="1:13">
      <c r="A767" t="s">
        <v>11</v>
      </c>
      <c r="B767" t="s">
        <v>163</v>
      </c>
      <c r="C767" t="s">
        <v>63</v>
      </c>
      <c r="D767" t="s">
        <v>33</v>
      </c>
      <c r="E767" s="3">
        <v>2.75</v>
      </c>
      <c r="F767" s="3">
        <v>2.9425000000000003</v>
      </c>
      <c r="G767">
        <v>1.99</v>
      </c>
      <c r="H767" s="3">
        <v>5.4725000000000001</v>
      </c>
      <c r="I767">
        <v>100</v>
      </c>
      <c r="J767">
        <v>1</v>
      </c>
      <c r="K767">
        <v>85</v>
      </c>
      <c r="L767" s="13">
        <f>(Table2[[#This Row],[STARTING INVENTORY]]-Table2[[#This Row],[ENDING INVENTORY]])/(Table2[[#This Row],[STARTING INVENTORY]])</f>
        <v>0.15</v>
      </c>
      <c r="M767">
        <f>Table2[[#This Row],[STARTING INVENTORY]]-Table2[[#This Row],[ENDING INVENTORY]]</f>
        <v>15</v>
      </c>
    </row>
    <row r="768" spans="1:13">
      <c r="A768" t="s">
        <v>11</v>
      </c>
      <c r="B768" t="s">
        <v>163</v>
      </c>
      <c r="C768" t="s">
        <v>69</v>
      </c>
      <c r="D768" t="s">
        <v>33</v>
      </c>
      <c r="E768" s="3">
        <v>1.9</v>
      </c>
      <c r="F768" s="3">
        <v>2.0329999999999999</v>
      </c>
      <c r="G768">
        <v>1.96</v>
      </c>
      <c r="H768" s="3">
        <v>3.7239999999999998</v>
      </c>
      <c r="I768">
        <v>94</v>
      </c>
      <c r="J768">
        <v>7</v>
      </c>
      <c r="K768">
        <v>30</v>
      </c>
      <c r="L768" s="13">
        <f>(Table2[[#This Row],[STARTING INVENTORY]]-Table2[[#This Row],[ENDING INVENTORY]])/(Table2[[#This Row],[STARTING INVENTORY]])</f>
        <v>0.68085106382978722</v>
      </c>
      <c r="M768">
        <f>Table2[[#This Row],[STARTING INVENTORY]]-Table2[[#This Row],[ENDING INVENTORY]]</f>
        <v>64</v>
      </c>
    </row>
    <row r="769" spans="1:13">
      <c r="A769" t="s">
        <v>11</v>
      </c>
      <c r="B769" t="s">
        <v>163</v>
      </c>
      <c r="C769" t="s">
        <v>75</v>
      </c>
      <c r="D769" t="s">
        <v>33</v>
      </c>
      <c r="E769" s="3">
        <v>4</v>
      </c>
      <c r="F769" s="3">
        <v>4.28</v>
      </c>
      <c r="G769">
        <v>2.0099999999999998</v>
      </c>
      <c r="H769" s="3">
        <v>8.0399999999999991</v>
      </c>
      <c r="I769">
        <v>126</v>
      </c>
      <c r="J769">
        <v>4</v>
      </c>
      <c r="K769">
        <v>80</v>
      </c>
      <c r="L769" s="13">
        <f>(Table2[[#This Row],[STARTING INVENTORY]]-Table2[[#This Row],[ENDING INVENTORY]])/(Table2[[#This Row],[STARTING INVENTORY]])</f>
        <v>0.36507936507936506</v>
      </c>
      <c r="M769">
        <f>Table2[[#This Row],[STARTING INVENTORY]]-Table2[[#This Row],[ENDING INVENTORY]]</f>
        <v>46</v>
      </c>
    </row>
    <row r="770" spans="1:13">
      <c r="A770" t="s">
        <v>11</v>
      </c>
      <c r="B770" t="s">
        <v>163</v>
      </c>
      <c r="C770" t="s">
        <v>81</v>
      </c>
      <c r="D770" t="s">
        <v>33</v>
      </c>
      <c r="E770" s="3">
        <v>0.8</v>
      </c>
      <c r="F770" s="3">
        <v>0.85600000000000009</v>
      </c>
      <c r="G770">
        <v>1.95</v>
      </c>
      <c r="H770" s="3">
        <v>1.56</v>
      </c>
      <c r="I770">
        <v>53</v>
      </c>
      <c r="J770">
        <v>1</v>
      </c>
      <c r="K770">
        <v>22</v>
      </c>
      <c r="L770" s="13">
        <f>(Table2[[#This Row],[STARTING INVENTORY]]-Table2[[#This Row],[ENDING INVENTORY]])/(Table2[[#This Row],[STARTING INVENTORY]])</f>
        <v>0.58490566037735847</v>
      </c>
      <c r="M770">
        <f>Table2[[#This Row],[STARTING INVENTORY]]-Table2[[#This Row],[ENDING INVENTORY]]</f>
        <v>31</v>
      </c>
    </row>
    <row r="771" spans="1:13">
      <c r="A771" t="s">
        <v>11</v>
      </c>
      <c r="B771" t="s">
        <v>163</v>
      </c>
      <c r="C771" t="s">
        <v>87</v>
      </c>
      <c r="D771" t="s">
        <v>33</v>
      </c>
      <c r="E771" s="3">
        <v>4.25</v>
      </c>
      <c r="F771" s="3">
        <v>4.5475000000000003</v>
      </c>
      <c r="G771">
        <v>2.0700000000000003</v>
      </c>
      <c r="H771" s="3">
        <v>8.7975000000000012</v>
      </c>
      <c r="I771">
        <v>111</v>
      </c>
      <c r="J771">
        <v>3</v>
      </c>
      <c r="K771">
        <v>31</v>
      </c>
      <c r="L771" s="13">
        <f>(Table2[[#This Row],[STARTING INVENTORY]]-Table2[[#This Row],[ENDING INVENTORY]])/(Table2[[#This Row],[STARTING INVENTORY]])</f>
        <v>0.72072072072072069</v>
      </c>
      <c r="M771">
        <f>Table2[[#This Row],[STARTING INVENTORY]]-Table2[[#This Row],[ENDING INVENTORY]]</f>
        <v>80</v>
      </c>
    </row>
    <row r="772" spans="1:13">
      <c r="A772" t="s">
        <v>11</v>
      </c>
      <c r="B772" t="s">
        <v>163</v>
      </c>
      <c r="C772" t="s">
        <v>93</v>
      </c>
      <c r="D772" t="s">
        <v>33</v>
      </c>
      <c r="E772" s="3">
        <v>1.6</v>
      </c>
      <c r="F772" s="3">
        <v>1.7120000000000002</v>
      </c>
      <c r="G772">
        <v>2.02</v>
      </c>
      <c r="H772" s="3">
        <v>3.2320000000000002</v>
      </c>
      <c r="I772">
        <v>114</v>
      </c>
      <c r="J772">
        <v>2</v>
      </c>
      <c r="K772">
        <v>61</v>
      </c>
      <c r="L772" s="13">
        <f>(Table2[[#This Row],[STARTING INVENTORY]]-Table2[[#This Row],[ENDING INVENTORY]])/(Table2[[#This Row],[STARTING INVENTORY]])</f>
        <v>0.46491228070175439</v>
      </c>
      <c r="M772">
        <f>Table2[[#This Row],[STARTING INVENTORY]]-Table2[[#This Row],[ENDING INVENTORY]]</f>
        <v>53</v>
      </c>
    </row>
    <row r="773" spans="1:13">
      <c r="A773" t="s">
        <v>11</v>
      </c>
      <c r="B773" t="s">
        <v>163</v>
      </c>
      <c r="C773" t="s">
        <v>99</v>
      </c>
      <c r="D773" t="s">
        <v>33</v>
      </c>
      <c r="E773" s="3">
        <v>1.65</v>
      </c>
      <c r="F773" s="3">
        <v>1.7655000000000001</v>
      </c>
      <c r="G773">
        <v>1.99</v>
      </c>
      <c r="H773" s="3">
        <v>3.2834999999999996</v>
      </c>
      <c r="I773">
        <v>153</v>
      </c>
      <c r="J773">
        <v>1</v>
      </c>
      <c r="K773">
        <v>73</v>
      </c>
      <c r="L773" s="13">
        <f>(Table2[[#This Row],[STARTING INVENTORY]]-Table2[[#This Row],[ENDING INVENTORY]])/(Table2[[#This Row],[STARTING INVENTORY]])</f>
        <v>0.52287581699346408</v>
      </c>
      <c r="M773">
        <f>Table2[[#This Row],[STARTING INVENTORY]]-Table2[[#This Row],[ENDING INVENTORY]]</f>
        <v>80</v>
      </c>
    </row>
    <row r="774" spans="1:13">
      <c r="A774" t="s">
        <v>11</v>
      </c>
      <c r="B774" t="s">
        <v>163</v>
      </c>
      <c r="C774" t="s">
        <v>105</v>
      </c>
      <c r="D774" t="s">
        <v>33</v>
      </c>
      <c r="E774" s="3">
        <v>2.2000000000000002</v>
      </c>
      <c r="F774" s="3">
        <v>2.3540000000000005</v>
      </c>
      <c r="G774">
        <v>1.97</v>
      </c>
      <c r="H774" s="3">
        <v>4.3340000000000005</v>
      </c>
      <c r="I774">
        <v>81</v>
      </c>
      <c r="J774">
        <v>1</v>
      </c>
      <c r="K774">
        <v>9</v>
      </c>
      <c r="L774" s="13">
        <f>(Table2[[#This Row],[STARTING INVENTORY]]-Table2[[#This Row],[ENDING INVENTORY]])/(Table2[[#This Row],[STARTING INVENTORY]])</f>
        <v>0.88888888888888884</v>
      </c>
      <c r="M774">
        <f>Table2[[#This Row],[STARTING INVENTORY]]-Table2[[#This Row],[ENDING INVENTORY]]</f>
        <v>72</v>
      </c>
    </row>
    <row r="775" spans="1:13">
      <c r="A775" t="s">
        <v>11</v>
      </c>
      <c r="B775" t="s">
        <v>163</v>
      </c>
      <c r="C775" t="s">
        <v>111</v>
      </c>
      <c r="D775" t="s">
        <v>33</v>
      </c>
      <c r="E775" s="3">
        <v>4</v>
      </c>
      <c r="F775" s="3">
        <v>4.28</v>
      </c>
      <c r="G775">
        <v>2.04</v>
      </c>
      <c r="H775" s="3">
        <v>8.16</v>
      </c>
      <c r="I775">
        <v>83</v>
      </c>
      <c r="J775">
        <v>1</v>
      </c>
      <c r="K775">
        <v>71</v>
      </c>
      <c r="L775" s="13">
        <f>(Table2[[#This Row],[STARTING INVENTORY]]-Table2[[#This Row],[ENDING INVENTORY]])/(Table2[[#This Row],[STARTING INVENTORY]])</f>
        <v>0.14457831325301204</v>
      </c>
      <c r="M775">
        <f>Table2[[#This Row],[STARTING INVENTORY]]-Table2[[#This Row],[ENDING INVENTORY]]</f>
        <v>12</v>
      </c>
    </row>
    <row r="776" spans="1:13">
      <c r="A776" t="s">
        <v>11</v>
      </c>
      <c r="B776" t="s">
        <v>163</v>
      </c>
      <c r="C776" t="s">
        <v>117</v>
      </c>
      <c r="D776" t="s">
        <v>33</v>
      </c>
      <c r="E776" s="3">
        <v>5.25</v>
      </c>
      <c r="F776" s="3">
        <v>5.6175000000000006</v>
      </c>
      <c r="G776">
        <v>2.02</v>
      </c>
      <c r="H776" s="3">
        <v>10.605</v>
      </c>
      <c r="I776">
        <v>141</v>
      </c>
      <c r="J776">
        <v>3</v>
      </c>
      <c r="K776">
        <v>53</v>
      </c>
      <c r="L776" s="13">
        <f>(Table2[[#This Row],[STARTING INVENTORY]]-Table2[[#This Row],[ENDING INVENTORY]])/(Table2[[#This Row],[STARTING INVENTORY]])</f>
        <v>0.62411347517730498</v>
      </c>
      <c r="M776">
        <f>Table2[[#This Row],[STARTING INVENTORY]]-Table2[[#This Row],[ENDING INVENTORY]]</f>
        <v>88</v>
      </c>
    </row>
    <row r="777" spans="1:13">
      <c r="A777" t="s">
        <v>11</v>
      </c>
      <c r="B777" t="s">
        <v>163</v>
      </c>
      <c r="C777" t="s">
        <v>123</v>
      </c>
      <c r="D777" t="s">
        <v>33</v>
      </c>
      <c r="E777" s="3">
        <v>2</v>
      </c>
      <c r="F777" s="3">
        <v>2.14</v>
      </c>
      <c r="G777">
        <v>2.0099999999999998</v>
      </c>
      <c r="H777" s="3">
        <v>4.0199999999999996</v>
      </c>
      <c r="I777">
        <v>144</v>
      </c>
      <c r="J777">
        <v>1</v>
      </c>
      <c r="K777">
        <v>51</v>
      </c>
      <c r="L777" s="13">
        <f>(Table2[[#This Row],[STARTING INVENTORY]]-Table2[[#This Row],[ENDING INVENTORY]])/(Table2[[#This Row],[STARTING INVENTORY]])</f>
        <v>0.64583333333333337</v>
      </c>
      <c r="M777">
        <f>Table2[[#This Row],[STARTING INVENTORY]]-Table2[[#This Row],[ENDING INVENTORY]]</f>
        <v>93</v>
      </c>
    </row>
    <row r="778" spans="1:13">
      <c r="A778" t="s">
        <v>11</v>
      </c>
      <c r="B778" t="s">
        <v>163</v>
      </c>
      <c r="C778" t="s">
        <v>129</v>
      </c>
      <c r="D778" t="s">
        <v>33</v>
      </c>
      <c r="E778" s="3">
        <v>2.8</v>
      </c>
      <c r="F778" s="3">
        <v>2.996</v>
      </c>
      <c r="G778">
        <v>1.95</v>
      </c>
      <c r="H778" s="3">
        <v>5.46</v>
      </c>
      <c r="I778">
        <v>121</v>
      </c>
      <c r="J778">
        <v>5</v>
      </c>
      <c r="K778">
        <v>19</v>
      </c>
      <c r="L778" s="13">
        <f>(Table2[[#This Row],[STARTING INVENTORY]]-Table2[[#This Row],[ENDING INVENTORY]])/(Table2[[#This Row],[STARTING INVENTORY]])</f>
        <v>0.84297520661157022</v>
      </c>
      <c r="M778">
        <f>Table2[[#This Row],[STARTING INVENTORY]]-Table2[[#This Row],[ENDING INVENTORY]]</f>
        <v>102</v>
      </c>
    </row>
    <row r="779" spans="1:13">
      <c r="A779" t="s">
        <v>11</v>
      </c>
      <c r="B779" t="s">
        <v>163</v>
      </c>
      <c r="C779" t="s">
        <v>135</v>
      </c>
      <c r="D779" t="s">
        <v>33</v>
      </c>
      <c r="E779" s="3">
        <v>1.35</v>
      </c>
      <c r="F779" s="3">
        <v>1.4445000000000001</v>
      </c>
      <c r="G779">
        <v>2.04</v>
      </c>
      <c r="H779" s="3">
        <v>2.7540000000000004</v>
      </c>
      <c r="I779">
        <v>88</v>
      </c>
      <c r="J779">
        <v>3</v>
      </c>
      <c r="K779">
        <v>31</v>
      </c>
      <c r="L779" s="13">
        <f>(Table2[[#This Row],[STARTING INVENTORY]]-Table2[[#This Row],[ENDING INVENTORY]])/(Table2[[#This Row],[STARTING INVENTORY]])</f>
        <v>0.64772727272727271</v>
      </c>
      <c r="M779">
        <f>Table2[[#This Row],[STARTING INVENTORY]]-Table2[[#This Row],[ENDING INVENTORY]]</f>
        <v>57</v>
      </c>
    </row>
    <row r="780" spans="1:13">
      <c r="A780" t="s">
        <v>11</v>
      </c>
      <c r="B780" t="s">
        <v>163</v>
      </c>
      <c r="C780" t="s">
        <v>141</v>
      </c>
      <c r="D780" t="s">
        <v>33</v>
      </c>
      <c r="E780" s="3">
        <v>2.25</v>
      </c>
      <c r="F780" s="3">
        <v>2.4075000000000002</v>
      </c>
      <c r="G780">
        <v>1.98</v>
      </c>
      <c r="H780" s="3">
        <v>4.4550000000000001</v>
      </c>
      <c r="I780">
        <v>75</v>
      </c>
      <c r="J780">
        <v>0</v>
      </c>
      <c r="K780">
        <v>13</v>
      </c>
      <c r="L780" s="13">
        <f>(Table2[[#This Row],[STARTING INVENTORY]]-Table2[[#This Row],[ENDING INVENTORY]])/(Table2[[#This Row],[STARTING INVENTORY]])</f>
        <v>0.82666666666666666</v>
      </c>
      <c r="M780">
        <f>Table2[[#This Row],[STARTING INVENTORY]]-Table2[[#This Row],[ENDING INVENTORY]]</f>
        <v>62</v>
      </c>
    </row>
    <row r="781" spans="1:13">
      <c r="A781" t="s">
        <v>11</v>
      </c>
      <c r="B781" t="s">
        <v>163</v>
      </c>
      <c r="C781" t="s">
        <v>147</v>
      </c>
      <c r="D781" t="s">
        <v>33</v>
      </c>
      <c r="E781" s="3">
        <v>2.8</v>
      </c>
      <c r="F781" s="3">
        <v>2.996</v>
      </c>
      <c r="G781">
        <v>2.0099999999999998</v>
      </c>
      <c r="H781" s="3">
        <v>5.6279999999999992</v>
      </c>
      <c r="I781">
        <v>83</v>
      </c>
      <c r="J781">
        <v>3</v>
      </c>
      <c r="K781">
        <v>49</v>
      </c>
      <c r="L781" s="13">
        <f>(Table2[[#This Row],[STARTING INVENTORY]]-Table2[[#This Row],[ENDING INVENTORY]])/(Table2[[#This Row],[STARTING INVENTORY]])</f>
        <v>0.40963855421686746</v>
      </c>
      <c r="M781">
        <f>Table2[[#This Row],[STARTING INVENTORY]]-Table2[[#This Row],[ENDING INVENTORY]]</f>
        <v>34</v>
      </c>
    </row>
    <row r="782" spans="1:13">
      <c r="A782" t="s">
        <v>11</v>
      </c>
      <c r="B782" t="s">
        <v>164</v>
      </c>
      <c r="C782" t="s">
        <v>31</v>
      </c>
      <c r="D782" t="s">
        <v>29</v>
      </c>
      <c r="E782" s="3">
        <v>5.25</v>
      </c>
      <c r="F782" s="3">
        <v>5.6175000000000006</v>
      </c>
      <c r="G782">
        <v>2.04</v>
      </c>
      <c r="H782" s="3">
        <v>10.71</v>
      </c>
      <c r="I782">
        <v>83</v>
      </c>
      <c r="J782">
        <v>1</v>
      </c>
      <c r="K782">
        <v>27</v>
      </c>
      <c r="L782" s="13">
        <f>(Table2[[#This Row],[STARTING INVENTORY]]-Table2[[#This Row],[ENDING INVENTORY]])/(Table2[[#This Row],[STARTING INVENTORY]])</f>
        <v>0.67469879518072284</v>
      </c>
      <c r="M782">
        <f>Table2[[#This Row],[STARTING INVENTORY]]-Table2[[#This Row],[ENDING INVENTORY]]</f>
        <v>56</v>
      </c>
    </row>
    <row r="783" spans="1:13">
      <c r="A783" t="s">
        <v>11</v>
      </c>
      <c r="B783" t="s">
        <v>164</v>
      </c>
      <c r="C783" t="s">
        <v>38</v>
      </c>
      <c r="D783" t="s">
        <v>29</v>
      </c>
      <c r="E783" s="3">
        <v>4.75</v>
      </c>
      <c r="F783" s="3">
        <v>5.0825000000000005</v>
      </c>
      <c r="G783">
        <v>2.04</v>
      </c>
      <c r="H783" s="3">
        <v>9.69</v>
      </c>
      <c r="I783">
        <v>32</v>
      </c>
      <c r="J783">
        <v>2</v>
      </c>
      <c r="K783">
        <v>13</v>
      </c>
      <c r="L783" s="13">
        <f>(Table2[[#This Row],[STARTING INVENTORY]]-Table2[[#This Row],[ENDING INVENTORY]])/(Table2[[#This Row],[STARTING INVENTORY]])</f>
        <v>0.59375</v>
      </c>
      <c r="M783">
        <f>Table2[[#This Row],[STARTING INVENTORY]]-Table2[[#This Row],[ENDING INVENTORY]]</f>
        <v>19</v>
      </c>
    </row>
    <row r="784" spans="1:13">
      <c r="A784" t="s">
        <v>11</v>
      </c>
      <c r="B784" t="s">
        <v>164</v>
      </c>
      <c r="C784" t="s">
        <v>44</v>
      </c>
      <c r="D784" t="s">
        <v>29</v>
      </c>
      <c r="E784" s="3">
        <v>6.5</v>
      </c>
      <c r="F784" s="3">
        <v>6.9550000000000001</v>
      </c>
      <c r="G784">
        <v>1.96</v>
      </c>
      <c r="H784" s="3">
        <v>12.74</v>
      </c>
      <c r="I784">
        <v>79</v>
      </c>
      <c r="J784">
        <v>3</v>
      </c>
      <c r="K784">
        <v>52</v>
      </c>
      <c r="L784" s="13">
        <f>(Table2[[#This Row],[STARTING INVENTORY]]-Table2[[#This Row],[ENDING INVENTORY]])/(Table2[[#This Row],[STARTING INVENTORY]])</f>
        <v>0.34177215189873417</v>
      </c>
      <c r="M784">
        <f>Table2[[#This Row],[STARTING INVENTORY]]-Table2[[#This Row],[ENDING INVENTORY]]</f>
        <v>27</v>
      </c>
    </row>
    <row r="785" spans="1:13">
      <c r="A785" t="s">
        <v>11</v>
      </c>
      <c r="B785" t="s">
        <v>164</v>
      </c>
      <c r="C785" t="s">
        <v>50</v>
      </c>
      <c r="D785" t="s">
        <v>29</v>
      </c>
      <c r="E785" s="3">
        <v>5.75</v>
      </c>
      <c r="F785" s="3">
        <v>6.1525000000000007</v>
      </c>
      <c r="G785">
        <v>1.98</v>
      </c>
      <c r="H785" s="3">
        <v>11.385</v>
      </c>
      <c r="I785">
        <v>41</v>
      </c>
      <c r="J785">
        <v>0</v>
      </c>
      <c r="K785">
        <v>23</v>
      </c>
      <c r="L785" s="13">
        <f>(Table2[[#This Row],[STARTING INVENTORY]]-Table2[[#This Row],[ENDING INVENTORY]])/(Table2[[#This Row],[STARTING INVENTORY]])</f>
        <v>0.43902439024390244</v>
      </c>
      <c r="M785">
        <f>Table2[[#This Row],[STARTING INVENTORY]]-Table2[[#This Row],[ENDING INVENTORY]]</f>
        <v>18</v>
      </c>
    </row>
    <row r="786" spans="1:13">
      <c r="A786" t="s">
        <v>11</v>
      </c>
      <c r="B786" t="s">
        <v>164</v>
      </c>
      <c r="C786" t="s">
        <v>56</v>
      </c>
      <c r="D786" t="s">
        <v>29</v>
      </c>
      <c r="E786" s="3">
        <v>5.5</v>
      </c>
      <c r="F786" s="3">
        <v>5.8850000000000007</v>
      </c>
      <c r="G786">
        <v>2.04</v>
      </c>
      <c r="H786" s="3">
        <v>11.22</v>
      </c>
      <c r="I786">
        <v>94</v>
      </c>
      <c r="J786">
        <v>2</v>
      </c>
      <c r="K786">
        <v>78</v>
      </c>
      <c r="L786" s="13">
        <f>(Table2[[#This Row],[STARTING INVENTORY]]-Table2[[#This Row],[ENDING INVENTORY]])/(Table2[[#This Row],[STARTING INVENTORY]])</f>
        <v>0.1702127659574468</v>
      </c>
      <c r="M786">
        <f>Table2[[#This Row],[STARTING INVENTORY]]-Table2[[#This Row],[ENDING INVENTORY]]</f>
        <v>16</v>
      </c>
    </row>
    <row r="787" spans="1:13">
      <c r="A787" t="s">
        <v>11</v>
      </c>
      <c r="B787" t="s">
        <v>164</v>
      </c>
      <c r="C787" t="s">
        <v>62</v>
      </c>
      <c r="D787" t="s">
        <v>29</v>
      </c>
      <c r="E787" s="3">
        <v>4.25</v>
      </c>
      <c r="F787" s="3">
        <v>4.5475000000000003</v>
      </c>
      <c r="G787">
        <v>1.97</v>
      </c>
      <c r="H787" s="3">
        <v>8.3725000000000005</v>
      </c>
      <c r="I787">
        <v>83</v>
      </c>
      <c r="J787">
        <v>0</v>
      </c>
      <c r="K787">
        <v>21</v>
      </c>
      <c r="L787" s="13">
        <f>(Table2[[#This Row],[STARTING INVENTORY]]-Table2[[#This Row],[ENDING INVENTORY]])/(Table2[[#This Row],[STARTING INVENTORY]])</f>
        <v>0.74698795180722888</v>
      </c>
      <c r="M787">
        <f>Table2[[#This Row],[STARTING INVENTORY]]-Table2[[#This Row],[ENDING INVENTORY]]</f>
        <v>62</v>
      </c>
    </row>
    <row r="788" spans="1:13">
      <c r="A788" t="s">
        <v>11</v>
      </c>
      <c r="B788" t="s">
        <v>164</v>
      </c>
      <c r="C788" t="s">
        <v>68</v>
      </c>
      <c r="D788" t="s">
        <v>29</v>
      </c>
      <c r="E788" s="3">
        <v>5.0999999999999996</v>
      </c>
      <c r="F788" s="3">
        <v>5.4569999999999999</v>
      </c>
      <c r="G788">
        <v>1.96</v>
      </c>
      <c r="H788" s="3">
        <v>9.9959999999999987</v>
      </c>
      <c r="I788">
        <v>34</v>
      </c>
      <c r="J788">
        <v>0</v>
      </c>
      <c r="K788">
        <v>29</v>
      </c>
      <c r="L788" s="13">
        <f>(Table2[[#This Row],[STARTING INVENTORY]]-Table2[[#This Row],[ENDING INVENTORY]])/(Table2[[#This Row],[STARTING INVENTORY]])</f>
        <v>0.14705882352941177</v>
      </c>
      <c r="M788">
        <f>Table2[[#This Row],[STARTING INVENTORY]]-Table2[[#This Row],[ENDING INVENTORY]]</f>
        <v>5</v>
      </c>
    </row>
    <row r="789" spans="1:13">
      <c r="A789" t="s">
        <v>11</v>
      </c>
      <c r="B789" t="s">
        <v>164</v>
      </c>
      <c r="C789" t="s">
        <v>74</v>
      </c>
      <c r="D789" t="s">
        <v>29</v>
      </c>
      <c r="E789" s="3">
        <v>2.8</v>
      </c>
      <c r="F789" s="3">
        <v>2.996</v>
      </c>
      <c r="G789">
        <v>2.0499999999999998</v>
      </c>
      <c r="H789" s="3">
        <v>5.7399999999999993</v>
      </c>
      <c r="I789">
        <v>86</v>
      </c>
      <c r="J789">
        <v>1</v>
      </c>
      <c r="K789">
        <v>62</v>
      </c>
      <c r="L789" s="13">
        <f>(Table2[[#This Row],[STARTING INVENTORY]]-Table2[[#This Row],[ENDING INVENTORY]])/(Table2[[#This Row],[STARTING INVENTORY]])</f>
        <v>0.27906976744186046</v>
      </c>
      <c r="M789">
        <f>Table2[[#This Row],[STARTING INVENTORY]]-Table2[[#This Row],[ENDING INVENTORY]]</f>
        <v>24</v>
      </c>
    </row>
    <row r="790" spans="1:13">
      <c r="A790" t="s">
        <v>11</v>
      </c>
      <c r="B790" t="s">
        <v>164</v>
      </c>
      <c r="C790" t="s">
        <v>80</v>
      </c>
      <c r="D790" t="s">
        <v>29</v>
      </c>
      <c r="E790" s="3">
        <v>4</v>
      </c>
      <c r="F790" s="3">
        <v>4.28</v>
      </c>
      <c r="G790">
        <v>1.98</v>
      </c>
      <c r="H790" s="3">
        <v>7.92</v>
      </c>
      <c r="I790">
        <v>46</v>
      </c>
      <c r="J790">
        <v>1</v>
      </c>
      <c r="K790">
        <v>3</v>
      </c>
      <c r="L790" s="13">
        <f>(Table2[[#This Row],[STARTING INVENTORY]]-Table2[[#This Row],[ENDING INVENTORY]])/(Table2[[#This Row],[STARTING INVENTORY]])</f>
        <v>0.93478260869565222</v>
      </c>
      <c r="M790">
        <f>Table2[[#This Row],[STARTING INVENTORY]]-Table2[[#This Row],[ENDING INVENTORY]]</f>
        <v>43</v>
      </c>
    </row>
    <row r="791" spans="1:13">
      <c r="A791" t="s">
        <v>11</v>
      </c>
      <c r="B791" t="s">
        <v>164</v>
      </c>
      <c r="C791" t="s">
        <v>86</v>
      </c>
      <c r="D791" t="s">
        <v>29</v>
      </c>
      <c r="E791" s="3">
        <v>9</v>
      </c>
      <c r="F791" s="3">
        <v>9.6300000000000008</v>
      </c>
      <c r="G791">
        <v>1.95</v>
      </c>
      <c r="H791" s="3">
        <v>17.55</v>
      </c>
      <c r="I791">
        <v>76</v>
      </c>
      <c r="J791">
        <v>10</v>
      </c>
      <c r="K791">
        <v>58</v>
      </c>
      <c r="L791" s="13">
        <f>(Table2[[#This Row],[STARTING INVENTORY]]-Table2[[#This Row],[ENDING INVENTORY]])/(Table2[[#This Row],[STARTING INVENTORY]])</f>
        <v>0.23684210526315788</v>
      </c>
      <c r="M791">
        <f>Table2[[#This Row],[STARTING INVENTORY]]-Table2[[#This Row],[ENDING INVENTORY]]</f>
        <v>18</v>
      </c>
    </row>
    <row r="792" spans="1:13">
      <c r="A792" t="s">
        <v>11</v>
      </c>
      <c r="B792" t="s">
        <v>164</v>
      </c>
      <c r="C792" t="s">
        <v>92</v>
      </c>
      <c r="D792" t="s">
        <v>29</v>
      </c>
      <c r="E792" s="3">
        <v>2.75</v>
      </c>
      <c r="F792" s="3">
        <v>2.9425000000000003</v>
      </c>
      <c r="G792">
        <v>1.96</v>
      </c>
      <c r="H792" s="3">
        <v>5.39</v>
      </c>
      <c r="I792">
        <v>52</v>
      </c>
      <c r="J792">
        <v>1</v>
      </c>
      <c r="K792">
        <v>22</v>
      </c>
      <c r="L792" s="13">
        <f>(Table2[[#This Row],[STARTING INVENTORY]]-Table2[[#This Row],[ENDING INVENTORY]])/(Table2[[#This Row],[STARTING INVENTORY]])</f>
        <v>0.57692307692307687</v>
      </c>
      <c r="M792">
        <f>Table2[[#This Row],[STARTING INVENTORY]]-Table2[[#This Row],[ENDING INVENTORY]]</f>
        <v>30</v>
      </c>
    </row>
    <row r="793" spans="1:13">
      <c r="A793" t="s">
        <v>11</v>
      </c>
      <c r="B793" t="s">
        <v>164</v>
      </c>
      <c r="C793" t="s">
        <v>98</v>
      </c>
      <c r="D793" t="s">
        <v>29</v>
      </c>
      <c r="E793" s="3">
        <v>3.9</v>
      </c>
      <c r="F793" s="3">
        <v>4.173</v>
      </c>
      <c r="G793">
        <v>2.0300000000000002</v>
      </c>
      <c r="H793" s="3">
        <v>7.9170000000000007</v>
      </c>
      <c r="I793">
        <v>108</v>
      </c>
      <c r="J793">
        <v>1</v>
      </c>
      <c r="K793">
        <v>7</v>
      </c>
      <c r="L793" s="13">
        <f>(Table2[[#This Row],[STARTING INVENTORY]]-Table2[[#This Row],[ENDING INVENTORY]])/(Table2[[#This Row],[STARTING INVENTORY]])</f>
        <v>0.93518518518518523</v>
      </c>
      <c r="M793">
        <f>Table2[[#This Row],[STARTING INVENTORY]]-Table2[[#This Row],[ENDING INVENTORY]]</f>
        <v>101</v>
      </c>
    </row>
    <row r="794" spans="1:13">
      <c r="A794" t="s">
        <v>11</v>
      </c>
      <c r="B794" t="s">
        <v>164</v>
      </c>
      <c r="C794" t="s">
        <v>104</v>
      </c>
      <c r="D794" t="s">
        <v>29</v>
      </c>
      <c r="E794" s="3">
        <v>4.3</v>
      </c>
      <c r="F794" s="3">
        <v>4.601</v>
      </c>
      <c r="G794">
        <v>1.98</v>
      </c>
      <c r="H794" s="3">
        <v>8.5139999999999993</v>
      </c>
      <c r="I794">
        <v>114</v>
      </c>
      <c r="J794">
        <v>2</v>
      </c>
      <c r="K794">
        <v>81</v>
      </c>
      <c r="L794" s="13">
        <f>(Table2[[#This Row],[STARTING INVENTORY]]-Table2[[#This Row],[ENDING INVENTORY]])/(Table2[[#This Row],[STARTING INVENTORY]])</f>
        <v>0.28947368421052633</v>
      </c>
      <c r="M794">
        <f>Table2[[#This Row],[STARTING INVENTORY]]-Table2[[#This Row],[ENDING INVENTORY]]</f>
        <v>33</v>
      </c>
    </row>
    <row r="795" spans="1:13">
      <c r="A795" t="s">
        <v>11</v>
      </c>
      <c r="B795" t="s">
        <v>164</v>
      </c>
      <c r="C795" t="s">
        <v>110</v>
      </c>
      <c r="D795" t="s">
        <v>29</v>
      </c>
      <c r="E795" s="3">
        <v>4</v>
      </c>
      <c r="F795" s="3">
        <v>4.28</v>
      </c>
      <c r="G795">
        <v>1.97</v>
      </c>
      <c r="H795" s="3">
        <v>7.88</v>
      </c>
      <c r="I795">
        <v>43</v>
      </c>
      <c r="J795">
        <v>0</v>
      </c>
      <c r="K795">
        <v>11</v>
      </c>
      <c r="L795" s="13">
        <f>(Table2[[#This Row],[STARTING INVENTORY]]-Table2[[#This Row],[ENDING INVENTORY]])/(Table2[[#This Row],[STARTING INVENTORY]])</f>
        <v>0.7441860465116279</v>
      </c>
      <c r="M795">
        <f>Table2[[#This Row],[STARTING INVENTORY]]-Table2[[#This Row],[ENDING INVENTORY]]</f>
        <v>32</v>
      </c>
    </row>
    <row r="796" spans="1:13">
      <c r="A796" t="s">
        <v>11</v>
      </c>
      <c r="B796" t="s">
        <v>164</v>
      </c>
      <c r="C796" t="s">
        <v>116</v>
      </c>
      <c r="D796" t="s">
        <v>29</v>
      </c>
      <c r="E796" s="3">
        <v>4.75</v>
      </c>
      <c r="F796" s="3">
        <v>5.0825000000000005</v>
      </c>
      <c r="G796">
        <v>1.97</v>
      </c>
      <c r="H796" s="3">
        <v>9.3574999999999999</v>
      </c>
      <c r="I796">
        <v>95</v>
      </c>
      <c r="J796">
        <v>8</v>
      </c>
      <c r="K796">
        <v>30</v>
      </c>
      <c r="L796" s="13">
        <f>(Table2[[#This Row],[STARTING INVENTORY]]-Table2[[#This Row],[ENDING INVENTORY]])/(Table2[[#This Row],[STARTING INVENTORY]])</f>
        <v>0.68421052631578949</v>
      </c>
      <c r="M796">
        <f>Table2[[#This Row],[STARTING INVENTORY]]-Table2[[#This Row],[ENDING INVENTORY]]</f>
        <v>65</v>
      </c>
    </row>
    <row r="797" spans="1:13">
      <c r="A797" t="s">
        <v>11</v>
      </c>
      <c r="B797" t="s">
        <v>164</v>
      </c>
      <c r="C797" t="s">
        <v>122</v>
      </c>
      <c r="D797" t="s">
        <v>29</v>
      </c>
      <c r="E797" s="3">
        <v>2.25</v>
      </c>
      <c r="F797" s="3">
        <v>2.4075000000000002</v>
      </c>
      <c r="G797">
        <v>2.02</v>
      </c>
      <c r="H797" s="3">
        <v>4.5449999999999999</v>
      </c>
      <c r="I797">
        <v>104</v>
      </c>
      <c r="J797">
        <v>3</v>
      </c>
      <c r="K797">
        <v>77</v>
      </c>
      <c r="L797" s="13">
        <f>(Table2[[#This Row],[STARTING INVENTORY]]-Table2[[#This Row],[ENDING INVENTORY]])/(Table2[[#This Row],[STARTING INVENTORY]])</f>
        <v>0.25961538461538464</v>
      </c>
      <c r="M797">
        <f>Table2[[#This Row],[STARTING INVENTORY]]-Table2[[#This Row],[ENDING INVENTORY]]</f>
        <v>27</v>
      </c>
    </row>
    <row r="798" spans="1:13">
      <c r="A798" t="s">
        <v>11</v>
      </c>
      <c r="B798" t="s">
        <v>164</v>
      </c>
      <c r="C798" t="s">
        <v>128</v>
      </c>
      <c r="D798" t="s">
        <v>29</v>
      </c>
      <c r="E798" s="3">
        <v>2.1</v>
      </c>
      <c r="F798" s="3">
        <v>2.2470000000000003</v>
      </c>
      <c r="G798">
        <v>2.06</v>
      </c>
      <c r="H798" s="3">
        <v>4.3260000000000005</v>
      </c>
      <c r="I798">
        <v>80</v>
      </c>
      <c r="J798">
        <v>4</v>
      </c>
      <c r="K798">
        <v>33</v>
      </c>
      <c r="L798" s="13">
        <f>(Table2[[#This Row],[STARTING INVENTORY]]-Table2[[#This Row],[ENDING INVENTORY]])/(Table2[[#This Row],[STARTING INVENTORY]])</f>
        <v>0.58750000000000002</v>
      </c>
      <c r="M798">
        <f>Table2[[#This Row],[STARTING INVENTORY]]-Table2[[#This Row],[ENDING INVENTORY]]</f>
        <v>47</v>
      </c>
    </row>
    <row r="799" spans="1:13">
      <c r="A799" t="s">
        <v>11</v>
      </c>
      <c r="B799" t="s">
        <v>164</v>
      </c>
      <c r="C799" t="s">
        <v>134</v>
      </c>
      <c r="D799" t="s">
        <v>29</v>
      </c>
      <c r="E799" s="3">
        <v>2</v>
      </c>
      <c r="F799" s="3">
        <v>2.14</v>
      </c>
      <c r="G799">
        <v>2.0099999999999998</v>
      </c>
      <c r="H799" s="3">
        <v>4.0199999999999996</v>
      </c>
      <c r="I799">
        <v>67</v>
      </c>
      <c r="J799">
        <v>0</v>
      </c>
      <c r="K799">
        <v>48</v>
      </c>
      <c r="L799" s="13">
        <f>(Table2[[#This Row],[STARTING INVENTORY]]-Table2[[#This Row],[ENDING INVENTORY]])/(Table2[[#This Row],[STARTING INVENTORY]])</f>
        <v>0.28358208955223879</v>
      </c>
      <c r="M799">
        <f>Table2[[#This Row],[STARTING INVENTORY]]-Table2[[#This Row],[ENDING INVENTORY]]</f>
        <v>19</v>
      </c>
    </row>
    <row r="800" spans="1:13">
      <c r="A800" t="s">
        <v>11</v>
      </c>
      <c r="B800" t="s">
        <v>164</v>
      </c>
      <c r="C800" t="s">
        <v>140</v>
      </c>
      <c r="D800" t="s">
        <v>33</v>
      </c>
      <c r="E800" s="3">
        <v>4.5</v>
      </c>
      <c r="F800" s="3">
        <v>4.8150000000000004</v>
      </c>
      <c r="G800">
        <v>2.08</v>
      </c>
      <c r="H800" s="3">
        <v>9.36</v>
      </c>
      <c r="I800">
        <v>93</v>
      </c>
      <c r="J800">
        <v>1</v>
      </c>
      <c r="K800">
        <v>78</v>
      </c>
      <c r="L800" s="13">
        <f>(Table2[[#This Row],[STARTING INVENTORY]]-Table2[[#This Row],[ENDING INVENTORY]])/(Table2[[#This Row],[STARTING INVENTORY]])</f>
        <v>0.16129032258064516</v>
      </c>
      <c r="M800">
        <f>Table2[[#This Row],[STARTING INVENTORY]]-Table2[[#This Row],[ENDING INVENTORY]]</f>
        <v>15</v>
      </c>
    </row>
    <row r="801" spans="1:13">
      <c r="A801" t="s">
        <v>11</v>
      </c>
      <c r="B801" t="s">
        <v>164</v>
      </c>
      <c r="C801" t="s">
        <v>146</v>
      </c>
      <c r="D801" t="s">
        <v>33</v>
      </c>
      <c r="E801" s="3">
        <v>3.75</v>
      </c>
      <c r="F801" s="3">
        <v>4.0125000000000002</v>
      </c>
      <c r="G801">
        <v>1.99</v>
      </c>
      <c r="H801" s="3">
        <v>7.4625000000000004</v>
      </c>
      <c r="I801">
        <v>67</v>
      </c>
      <c r="J801">
        <v>1</v>
      </c>
      <c r="K801">
        <v>56</v>
      </c>
      <c r="L801" s="13">
        <f>(Table2[[#This Row],[STARTING INVENTORY]]-Table2[[#This Row],[ENDING INVENTORY]])/(Table2[[#This Row],[STARTING INVENTORY]])</f>
        <v>0.16417910447761194</v>
      </c>
      <c r="M801">
        <f>Table2[[#This Row],[STARTING INVENTORY]]-Table2[[#This Row],[ENDING INVENTORY]]</f>
        <v>11</v>
      </c>
    </row>
    <row r="802" spans="1:13">
      <c r="A802" t="s">
        <v>11</v>
      </c>
      <c r="B802" t="s">
        <v>165</v>
      </c>
      <c r="C802" t="s">
        <v>35</v>
      </c>
      <c r="D802" t="s">
        <v>33</v>
      </c>
      <c r="E802" s="3">
        <v>2</v>
      </c>
      <c r="F802" s="3">
        <v>2.14</v>
      </c>
      <c r="G802">
        <v>2.0700000000000003</v>
      </c>
      <c r="H802" s="3">
        <v>4.1400000000000006</v>
      </c>
      <c r="I802">
        <v>109</v>
      </c>
      <c r="J802">
        <v>5</v>
      </c>
      <c r="K802">
        <v>94</v>
      </c>
      <c r="L802" s="13">
        <f>(Table2[[#This Row],[STARTING INVENTORY]]-Table2[[#This Row],[ENDING INVENTORY]])/(Table2[[#This Row],[STARTING INVENTORY]])</f>
        <v>0.13761467889908258</v>
      </c>
      <c r="M802">
        <f>Table2[[#This Row],[STARTING INVENTORY]]-Table2[[#This Row],[ENDING INVENTORY]]</f>
        <v>15</v>
      </c>
    </row>
    <row r="803" spans="1:13">
      <c r="A803" t="s">
        <v>11</v>
      </c>
      <c r="B803" t="s">
        <v>165</v>
      </c>
      <c r="C803" t="s">
        <v>41</v>
      </c>
      <c r="D803" t="s">
        <v>33</v>
      </c>
      <c r="E803" s="3">
        <v>1.95</v>
      </c>
      <c r="F803" s="3">
        <v>2.0865</v>
      </c>
      <c r="G803">
        <v>2.08</v>
      </c>
      <c r="H803" s="3">
        <v>4.056</v>
      </c>
      <c r="I803">
        <v>157</v>
      </c>
      <c r="J803">
        <v>0</v>
      </c>
      <c r="K803">
        <v>92</v>
      </c>
      <c r="L803" s="13">
        <f>(Table2[[#This Row],[STARTING INVENTORY]]-Table2[[#This Row],[ENDING INVENTORY]])/(Table2[[#This Row],[STARTING INVENTORY]])</f>
        <v>0.4140127388535032</v>
      </c>
      <c r="M803">
        <f>Table2[[#This Row],[STARTING INVENTORY]]-Table2[[#This Row],[ENDING INVENTORY]]</f>
        <v>65</v>
      </c>
    </row>
    <row r="804" spans="1:13">
      <c r="A804" t="s">
        <v>11</v>
      </c>
      <c r="B804" t="s">
        <v>165</v>
      </c>
      <c r="C804" t="s">
        <v>47</v>
      </c>
      <c r="D804" t="s">
        <v>33</v>
      </c>
      <c r="E804" s="3">
        <v>1.9</v>
      </c>
      <c r="F804" s="3">
        <v>2.0329999999999999</v>
      </c>
      <c r="G804">
        <v>2.1</v>
      </c>
      <c r="H804" s="3">
        <v>3.9899999999999998</v>
      </c>
      <c r="I804">
        <v>141</v>
      </c>
      <c r="J804">
        <v>1</v>
      </c>
      <c r="K804">
        <v>17</v>
      </c>
      <c r="L804" s="13">
        <f>(Table2[[#This Row],[STARTING INVENTORY]]-Table2[[#This Row],[ENDING INVENTORY]])/(Table2[[#This Row],[STARTING INVENTORY]])</f>
        <v>0.87943262411347523</v>
      </c>
      <c r="M804">
        <f>Table2[[#This Row],[STARTING INVENTORY]]-Table2[[#This Row],[ENDING INVENTORY]]</f>
        <v>124</v>
      </c>
    </row>
    <row r="805" spans="1:13">
      <c r="A805" t="s">
        <v>11</v>
      </c>
      <c r="B805" t="s">
        <v>165</v>
      </c>
      <c r="C805" t="s">
        <v>53</v>
      </c>
      <c r="D805" t="s">
        <v>33</v>
      </c>
      <c r="E805" s="3">
        <v>3.1</v>
      </c>
      <c r="F805" s="3">
        <v>3.3170000000000002</v>
      </c>
      <c r="G805">
        <v>2.09</v>
      </c>
      <c r="H805" s="3">
        <v>6.4790000000000001</v>
      </c>
      <c r="I805">
        <v>89</v>
      </c>
      <c r="J805">
        <v>9</v>
      </c>
      <c r="K805">
        <v>37</v>
      </c>
      <c r="L805" s="13">
        <f>(Table2[[#This Row],[STARTING INVENTORY]]-Table2[[#This Row],[ENDING INVENTORY]])/(Table2[[#This Row],[STARTING INVENTORY]])</f>
        <v>0.5842696629213483</v>
      </c>
      <c r="M805">
        <f>Table2[[#This Row],[STARTING INVENTORY]]-Table2[[#This Row],[ENDING INVENTORY]]</f>
        <v>52</v>
      </c>
    </row>
    <row r="806" spans="1:13">
      <c r="A806" t="s">
        <v>11</v>
      </c>
      <c r="B806" t="s">
        <v>165</v>
      </c>
      <c r="C806" t="s">
        <v>59</v>
      </c>
      <c r="D806" t="s">
        <v>33</v>
      </c>
      <c r="E806" s="3">
        <v>2</v>
      </c>
      <c r="F806" s="3">
        <v>2.14</v>
      </c>
      <c r="G806">
        <v>2.0499999999999998</v>
      </c>
      <c r="H806" s="3">
        <v>4.0999999999999996</v>
      </c>
      <c r="I806">
        <v>138</v>
      </c>
      <c r="J806">
        <v>2</v>
      </c>
      <c r="K806">
        <v>86</v>
      </c>
      <c r="L806" s="13">
        <f>(Table2[[#This Row],[STARTING INVENTORY]]-Table2[[#This Row],[ENDING INVENTORY]])/(Table2[[#This Row],[STARTING INVENTORY]])</f>
        <v>0.37681159420289856</v>
      </c>
      <c r="M806">
        <f>Table2[[#This Row],[STARTING INVENTORY]]-Table2[[#This Row],[ENDING INVENTORY]]</f>
        <v>52</v>
      </c>
    </row>
    <row r="807" spans="1:13">
      <c r="A807" t="s">
        <v>11</v>
      </c>
      <c r="B807" t="s">
        <v>165</v>
      </c>
      <c r="C807" t="s">
        <v>65</v>
      </c>
      <c r="D807" t="s">
        <v>33</v>
      </c>
      <c r="E807" s="3">
        <v>1.7</v>
      </c>
      <c r="F807" s="3">
        <v>1.819</v>
      </c>
      <c r="G807">
        <v>1.98</v>
      </c>
      <c r="H807" s="3">
        <v>3.3660000000000001</v>
      </c>
      <c r="I807">
        <v>150</v>
      </c>
      <c r="J807">
        <v>1</v>
      </c>
      <c r="K807">
        <v>87</v>
      </c>
      <c r="L807" s="13">
        <f>(Table2[[#This Row],[STARTING INVENTORY]]-Table2[[#This Row],[ENDING INVENTORY]])/(Table2[[#This Row],[STARTING INVENTORY]])</f>
        <v>0.42</v>
      </c>
      <c r="M807">
        <f>Table2[[#This Row],[STARTING INVENTORY]]-Table2[[#This Row],[ENDING INVENTORY]]</f>
        <v>63</v>
      </c>
    </row>
    <row r="808" spans="1:13">
      <c r="A808" t="s">
        <v>11</v>
      </c>
      <c r="B808" t="s">
        <v>165</v>
      </c>
      <c r="C808" t="s">
        <v>71</v>
      </c>
      <c r="D808" t="s">
        <v>33</v>
      </c>
      <c r="E808" s="3">
        <v>1.5</v>
      </c>
      <c r="F808" s="3">
        <v>1.605</v>
      </c>
      <c r="G808">
        <v>1.95</v>
      </c>
      <c r="H808" s="3">
        <v>2.9249999999999998</v>
      </c>
      <c r="I808">
        <v>110</v>
      </c>
      <c r="J808">
        <v>0</v>
      </c>
      <c r="K808">
        <v>49</v>
      </c>
      <c r="L808" s="13">
        <f>(Table2[[#This Row],[STARTING INVENTORY]]-Table2[[#This Row],[ENDING INVENTORY]])/(Table2[[#This Row],[STARTING INVENTORY]])</f>
        <v>0.55454545454545456</v>
      </c>
      <c r="M808">
        <f>Table2[[#This Row],[STARTING INVENTORY]]-Table2[[#This Row],[ENDING INVENTORY]]</f>
        <v>61</v>
      </c>
    </row>
    <row r="809" spans="1:13">
      <c r="A809" t="s">
        <v>11</v>
      </c>
      <c r="B809" t="s">
        <v>165</v>
      </c>
      <c r="C809" t="s">
        <v>77</v>
      </c>
      <c r="D809" t="s">
        <v>33</v>
      </c>
      <c r="E809" s="3">
        <v>2.65</v>
      </c>
      <c r="F809" s="3">
        <v>2.8355000000000001</v>
      </c>
      <c r="G809">
        <v>2.06</v>
      </c>
      <c r="H809" s="3">
        <v>5.4589999999999996</v>
      </c>
      <c r="I809">
        <v>122</v>
      </c>
      <c r="J809">
        <v>9</v>
      </c>
      <c r="K809">
        <v>7</v>
      </c>
      <c r="L809" s="13">
        <f>(Table2[[#This Row],[STARTING INVENTORY]]-Table2[[#This Row],[ENDING INVENTORY]])/(Table2[[#This Row],[STARTING INVENTORY]])</f>
        <v>0.94262295081967218</v>
      </c>
      <c r="M809">
        <f>Table2[[#This Row],[STARTING INVENTORY]]-Table2[[#This Row],[ENDING INVENTORY]]</f>
        <v>115</v>
      </c>
    </row>
    <row r="810" spans="1:13">
      <c r="A810" t="s">
        <v>11</v>
      </c>
      <c r="B810" t="s">
        <v>165</v>
      </c>
      <c r="C810" t="s">
        <v>83</v>
      </c>
      <c r="D810" t="s">
        <v>33</v>
      </c>
      <c r="E810" s="3">
        <v>1.2</v>
      </c>
      <c r="F810" s="3">
        <v>1.284</v>
      </c>
      <c r="G810">
        <v>2.04</v>
      </c>
      <c r="H810" s="3">
        <v>2.448</v>
      </c>
      <c r="I810">
        <v>157</v>
      </c>
      <c r="J810">
        <v>0</v>
      </c>
      <c r="K810">
        <v>133</v>
      </c>
      <c r="L810" s="13">
        <f>(Table2[[#This Row],[STARTING INVENTORY]]-Table2[[#This Row],[ENDING INVENTORY]])/(Table2[[#This Row],[STARTING INVENTORY]])</f>
        <v>0.15286624203821655</v>
      </c>
      <c r="M810">
        <f>Table2[[#This Row],[STARTING INVENTORY]]-Table2[[#This Row],[ENDING INVENTORY]]</f>
        <v>24</v>
      </c>
    </row>
    <row r="811" spans="1:13">
      <c r="A811" t="s">
        <v>11</v>
      </c>
      <c r="B811" t="s">
        <v>165</v>
      </c>
      <c r="C811" t="s">
        <v>89</v>
      </c>
      <c r="D811" t="s">
        <v>33</v>
      </c>
      <c r="E811" s="3">
        <v>1.4</v>
      </c>
      <c r="F811" s="3">
        <v>1.498</v>
      </c>
      <c r="G811">
        <v>2.1</v>
      </c>
      <c r="H811" s="3">
        <v>2.94</v>
      </c>
      <c r="I811">
        <v>111</v>
      </c>
      <c r="J811">
        <v>4</v>
      </c>
      <c r="K811">
        <v>68</v>
      </c>
      <c r="L811" s="13">
        <f>(Table2[[#This Row],[STARTING INVENTORY]]-Table2[[#This Row],[ENDING INVENTORY]])/(Table2[[#This Row],[STARTING INVENTORY]])</f>
        <v>0.38738738738738737</v>
      </c>
      <c r="M811">
        <f>Table2[[#This Row],[STARTING INVENTORY]]-Table2[[#This Row],[ENDING INVENTORY]]</f>
        <v>43</v>
      </c>
    </row>
    <row r="812" spans="1:13">
      <c r="A812" t="s">
        <v>11</v>
      </c>
      <c r="B812" t="s">
        <v>165</v>
      </c>
      <c r="C812" t="s">
        <v>95</v>
      </c>
      <c r="D812" t="s">
        <v>33</v>
      </c>
      <c r="E812" s="3">
        <v>1.6</v>
      </c>
      <c r="F812" s="3">
        <v>1.7120000000000002</v>
      </c>
      <c r="G812">
        <v>2.08</v>
      </c>
      <c r="H812" s="3">
        <v>3.3280000000000003</v>
      </c>
      <c r="I812">
        <v>97</v>
      </c>
      <c r="J812">
        <v>4</v>
      </c>
      <c r="K812">
        <v>43</v>
      </c>
      <c r="L812" s="13">
        <f>(Table2[[#This Row],[STARTING INVENTORY]]-Table2[[#This Row],[ENDING INVENTORY]])/(Table2[[#This Row],[STARTING INVENTORY]])</f>
        <v>0.55670103092783507</v>
      </c>
      <c r="M812">
        <f>Table2[[#This Row],[STARTING INVENTORY]]-Table2[[#This Row],[ENDING INVENTORY]]</f>
        <v>54</v>
      </c>
    </row>
    <row r="813" spans="1:13">
      <c r="A813" t="s">
        <v>11</v>
      </c>
      <c r="B813" t="s">
        <v>165</v>
      </c>
      <c r="C813" t="s">
        <v>101</v>
      </c>
      <c r="D813" t="s">
        <v>33</v>
      </c>
      <c r="E813" s="3">
        <v>0.7</v>
      </c>
      <c r="F813" s="3">
        <v>0.749</v>
      </c>
      <c r="G813">
        <v>1.99</v>
      </c>
      <c r="H813" s="3">
        <v>1.393</v>
      </c>
      <c r="I813">
        <v>156</v>
      </c>
      <c r="J813">
        <v>0</v>
      </c>
      <c r="K813">
        <v>120</v>
      </c>
      <c r="L813" s="13">
        <f>(Table2[[#This Row],[STARTING INVENTORY]]-Table2[[#This Row],[ENDING INVENTORY]])/(Table2[[#This Row],[STARTING INVENTORY]])</f>
        <v>0.23076923076923078</v>
      </c>
      <c r="M813">
        <f>Table2[[#This Row],[STARTING INVENTORY]]-Table2[[#This Row],[ENDING INVENTORY]]</f>
        <v>36</v>
      </c>
    </row>
    <row r="814" spans="1:13">
      <c r="A814" t="s">
        <v>11</v>
      </c>
      <c r="B814" t="s">
        <v>165</v>
      </c>
      <c r="C814" t="s">
        <v>107</v>
      </c>
      <c r="D814" t="s">
        <v>33</v>
      </c>
      <c r="E814" s="3">
        <v>0.55000000000000004</v>
      </c>
      <c r="F814" s="3">
        <v>0.58850000000000013</v>
      </c>
      <c r="G814">
        <v>2.0099999999999998</v>
      </c>
      <c r="H814" s="3">
        <v>1.1054999999999999</v>
      </c>
      <c r="I814">
        <v>147</v>
      </c>
      <c r="J814">
        <v>3</v>
      </c>
      <c r="K814">
        <v>63</v>
      </c>
      <c r="L814" s="13">
        <f>(Table2[[#This Row],[STARTING INVENTORY]]-Table2[[#This Row],[ENDING INVENTORY]])/(Table2[[#This Row],[STARTING INVENTORY]])</f>
        <v>0.5714285714285714</v>
      </c>
      <c r="M814">
        <f>Table2[[#This Row],[STARTING INVENTORY]]-Table2[[#This Row],[ENDING INVENTORY]]</f>
        <v>84</v>
      </c>
    </row>
    <row r="815" spans="1:13">
      <c r="A815" t="s">
        <v>11</v>
      </c>
      <c r="B815" t="s">
        <v>165</v>
      </c>
      <c r="C815" t="s">
        <v>113</v>
      </c>
      <c r="D815" t="s">
        <v>33</v>
      </c>
      <c r="E815" s="3">
        <v>1.4</v>
      </c>
      <c r="F815" s="3">
        <v>1.498</v>
      </c>
      <c r="G815">
        <v>1.95</v>
      </c>
      <c r="H815" s="3">
        <v>2.73</v>
      </c>
      <c r="I815">
        <v>138</v>
      </c>
      <c r="J815">
        <v>0</v>
      </c>
      <c r="K815">
        <v>138</v>
      </c>
      <c r="L815" s="13">
        <f>(Table2[[#This Row],[STARTING INVENTORY]]-Table2[[#This Row],[ENDING INVENTORY]])/(Table2[[#This Row],[STARTING INVENTORY]])</f>
        <v>0</v>
      </c>
      <c r="M815">
        <f>Table2[[#This Row],[STARTING INVENTORY]]-Table2[[#This Row],[ENDING INVENTORY]]</f>
        <v>0</v>
      </c>
    </row>
    <row r="816" spans="1:13">
      <c r="A816" t="s">
        <v>11</v>
      </c>
      <c r="B816" t="s">
        <v>165</v>
      </c>
      <c r="C816" t="s">
        <v>119</v>
      </c>
      <c r="D816" t="s">
        <v>33</v>
      </c>
      <c r="E816" s="3">
        <v>2</v>
      </c>
      <c r="F816" s="3">
        <v>2.14</v>
      </c>
      <c r="G816">
        <v>1.98</v>
      </c>
      <c r="H816" s="3">
        <v>3.96</v>
      </c>
      <c r="I816">
        <v>89</v>
      </c>
      <c r="J816">
        <v>1</v>
      </c>
      <c r="K816">
        <v>64</v>
      </c>
      <c r="L816" s="13">
        <f>(Table2[[#This Row],[STARTING INVENTORY]]-Table2[[#This Row],[ENDING INVENTORY]])/(Table2[[#This Row],[STARTING INVENTORY]])</f>
        <v>0.2808988764044944</v>
      </c>
      <c r="M816">
        <f>Table2[[#This Row],[STARTING INVENTORY]]-Table2[[#This Row],[ENDING INVENTORY]]</f>
        <v>25</v>
      </c>
    </row>
    <row r="817" spans="1:13">
      <c r="A817" t="s">
        <v>11</v>
      </c>
      <c r="B817" t="s">
        <v>165</v>
      </c>
      <c r="C817" t="s">
        <v>125</v>
      </c>
      <c r="D817" t="s">
        <v>33</v>
      </c>
      <c r="E817" s="3">
        <v>2.25</v>
      </c>
      <c r="F817" s="3">
        <v>2.4075000000000002</v>
      </c>
      <c r="G817">
        <v>2.02</v>
      </c>
      <c r="H817" s="3">
        <v>4.5449999999999999</v>
      </c>
      <c r="I817">
        <v>178</v>
      </c>
      <c r="J817">
        <v>5</v>
      </c>
      <c r="K817">
        <v>106</v>
      </c>
      <c r="L817" s="13">
        <f>(Table2[[#This Row],[STARTING INVENTORY]]-Table2[[#This Row],[ENDING INVENTORY]])/(Table2[[#This Row],[STARTING INVENTORY]])</f>
        <v>0.4044943820224719</v>
      </c>
      <c r="M817">
        <f>Table2[[#This Row],[STARTING INVENTORY]]-Table2[[#This Row],[ENDING INVENTORY]]</f>
        <v>72</v>
      </c>
    </row>
    <row r="818" spans="1:13">
      <c r="A818" t="s">
        <v>11</v>
      </c>
      <c r="B818" t="s">
        <v>165</v>
      </c>
      <c r="C818" t="s">
        <v>131</v>
      </c>
      <c r="D818" t="s">
        <v>33</v>
      </c>
      <c r="E818" s="3">
        <v>3.4</v>
      </c>
      <c r="F818" s="3">
        <v>3.6379999999999999</v>
      </c>
      <c r="G818">
        <v>1.97</v>
      </c>
      <c r="H818" s="3">
        <v>6.6979999999999995</v>
      </c>
      <c r="I818">
        <v>165</v>
      </c>
      <c r="J818">
        <v>6</v>
      </c>
      <c r="K818">
        <v>146</v>
      </c>
      <c r="L818" s="13">
        <f>(Table2[[#This Row],[STARTING INVENTORY]]-Table2[[#This Row],[ENDING INVENTORY]])/(Table2[[#This Row],[STARTING INVENTORY]])</f>
        <v>0.11515151515151516</v>
      </c>
      <c r="M818">
        <f>Table2[[#This Row],[STARTING INVENTORY]]-Table2[[#This Row],[ENDING INVENTORY]]</f>
        <v>19</v>
      </c>
    </row>
    <row r="819" spans="1:13">
      <c r="A819" t="s">
        <v>11</v>
      </c>
      <c r="B819" t="s">
        <v>165</v>
      </c>
      <c r="C819" t="s">
        <v>137</v>
      </c>
      <c r="D819" t="s">
        <v>33</v>
      </c>
      <c r="E819" s="3">
        <v>3.1</v>
      </c>
      <c r="F819" s="3">
        <v>3.3170000000000002</v>
      </c>
      <c r="G819">
        <v>2.04</v>
      </c>
      <c r="H819" s="3">
        <v>6.3240000000000007</v>
      </c>
      <c r="I819">
        <v>110</v>
      </c>
      <c r="J819">
        <v>3</v>
      </c>
      <c r="K819">
        <v>8</v>
      </c>
      <c r="L819" s="13">
        <f>(Table2[[#This Row],[STARTING INVENTORY]]-Table2[[#This Row],[ENDING INVENTORY]])/(Table2[[#This Row],[STARTING INVENTORY]])</f>
        <v>0.92727272727272725</v>
      </c>
      <c r="M819">
        <f>Table2[[#This Row],[STARTING INVENTORY]]-Table2[[#This Row],[ENDING INVENTORY]]</f>
        <v>102</v>
      </c>
    </row>
    <row r="820" spans="1:13">
      <c r="A820" t="s">
        <v>11</v>
      </c>
      <c r="B820" t="s">
        <v>165</v>
      </c>
      <c r="C820" t="s">
        <v>143</v>
      </c>
      <c r="D820" t="s">
        <v>33</v>
      </c>
      <c r="E820" s="3">
        <v>1.5</v>
      </c>
      <c r="F820" s="3">
        <v>1.605</v>
      </c>
      <c r="G820">
        <v>1.97</v>
      </c>
      <c r="H820" s="3">
        <v>2.9550000000000001</v>
      </c>
      <c r="I820">
        <v>140</v>
      </c>
      <c r="J820">
        <v>2</v>
      </c>
      <c r="K820">
        <v>99</v>
      </c>
      <c r="L820" s="13">
        <f>(Table2[[#This Row],[STARTING INVENTORY]]-Table2[[#This Row],[ENDING INVENTORY]])/(Table2[[#This Row],[STARTING INVENTORY]])</f>
        <v>0.29285714285714287</v>
      </c>
      <c r="M820">
        <f>Table2[[#This Row],[STARTING INVENTORY]]-Table2[[#This Row],[ENDING INVENTORY]]</f>
        <v>41</v>
      </c>
    </row>
    <row r="821" spans="1:13">
      <c r="A821" t="s">
        <v>11</v>
      </c>
      <c r="B821" t="s">
        <v>165</v>
      </c>
      <c r="C821" t="s">
        <v>149</v>
      </c>
      <c r="D821" t="s">
        <v>33</v>
      </c>
      <c r="E821" s="3">
        <v>1.9</v>
      </c>
      <c r="F821" s="3">
        <v>2.0329999999999999</v>
      </c>
      <c r="G821">
        <v>2.02</v>
      </c>
      <c r="H821" s="3">
        <v>3.8379999999999996</v>
      </c>
      <c r="I821">
        <v>64</v>
      </c>
      <c r="J821">
        <v>0</v>
      </c>
      <c r="K821">
        <v>14</v>
      </c>
      <c r="L821" s="13">
        <f>(Table2[[#This Row],[STARTING INVENTORY]]-Table2[[#This Row],[ENDING INVENTORY]])/(Table2[[#This Row],[STARTING INVENTORY]])</f>
        <v>0.78125</v>
      </c>
      <c r="M821">
        <f>Table2[[#This Row],[STARTING INVENTORY]]-Table2[[#This Row],[ENDING INVENTORY]]</f>
        <v>50</v>
      </c>
    </row>
    <row r="822" spans="1:13">
      <c r="A822" t="s">
        <v>11</v>
      </c>
      <c r="B822" t="s">
        <v>166</v>
      </c>
      <c r="C822" t="s">
        <v>34</v>
      </c>
      <c r="D822" t="s">
        <v>33</v>
      </c>
      <c r="E822" s="3">
        <v>1.3</v>
      </c>
      <c r="F822" s="3">
        <v>1.3910000000000002</v>
      </c>
      <c r="G822">
        <v>2.0700000000000003</v>
      </c>
      <c r="H822" s="3">
        <v>2.6910000000000003</v>
      </c>
      <c r="I822">
        <v>68</v>
      </c>
      <c r="J822">
        <v>0</v>
      </c>
      <c r="K822">
        <v>50</v>
      </c>
      <c r="L822" s="13">
        <f>(Table2[[#This Row],[STARTING INVENTORY]]-Table2[[#This Row],[ENDING INVENTORY]])/(Table2[[#This Row],[STARTING INVENTORY]])</f>
        <v>0.26470588235294118</v>
      </c>
      <c r="M822">
        <f>Table2[[#This Row],[STARTING INVENTORY]]-Table2[[#This Row],[ENDING INVENTORY]]</f>
        <v>18</v>
      </c>
    </row>
    <row r="823" spans="1:13">
      <c r="A823" t="s">
        <v>11</v>
      </c>
      <c r="B823" t="s">
        <v>166</v>
      </c>
      <c r="C823" t="s">
        <v>40</v>
      </c>
      <c r="D823" t="s">
        <v>33</v>
      </c>
      <c r="E823" s="3">
        <v>1.6</v>
      </c>
      <c r="F823" s="3">
        <v>1.7120000000000002</v>
      </c>
      <c r="G823">
        <v>2.0300000000000002</v>
      </c>
      <c r="H823" s="3">
        <v>3.2480000000000007</v>
      </c>
      <c r="I823">
        <v>43</v>
      </c>
      <c r="J823">
        <v>0</v>
      </c>
      <c r="K823">
        <v>12</v>
      </c>
      <c r="L823" s="13">
        <f>(Table2[[#This Row],[STARTING INVENTORY]]-Table2[[#This Row],[ENDING INVENTORY]])/(Table2[[#This Row],[STARTING INVENTORY]])</f>
        <v>0.72093023255813948</v>
      </c>
      <c r="M823">
        <f>Table2[[#This Row],[STARTING INVENTORY]]-Table2[[#This Row],[ENDING INVENTORY]]</f>
        <v>31</v>
      </c>
    </row>
    <row r="824" spans="1:13">
      <c r="A824" t="s">
        <v>11</v>
      </c>
      <c r="B824" t="s">
        <v>166</v>
      </c>
      <c r="C824" t="s">
        <v>46</v>
      </c>
      <c r="D824" t="s">
        <v>33</v>
      </c>
      <c r="E824" s="3">
        <v>1.35</v>
      </c>
      <c r="F824" s="3">
        <v>1.4445000000000001</v>
      </c>
      <c r="G824">
        <v>1.95</v>
      </c>
      <c r="H824" s="3">
        <v>2.6325000000000003</v>
      </c>
      <c r="I824">
        <v>49</v>
      </c>
      <c r="J824">
        <v>0</v>
      </c>
      <c r="K824">
        <v>18</v>
      </c>
      <c r="L824" s="13">
        <f>(Table2[[#This Row],[STARTING INVENTORY]]-Table2[[#This Row],[ENDING INVENTORY]])/(Table2[[#This Row],[STARTING INVENTORY]])</f>
        <v>0.63265306122448983</v>
      </c>
      <c r="M824">
        <f>Table2[[#This Row],[STARTING INVENTORY]]-Table2[[#This Row],[ENDING INVENTORY]]</f>
        <v>31</v>
      </c>
    </row>
    <row r="825" spans="1:13">
      <c r="A825" t="s">
        <v>11</v>
      </c>
      <c r="B825" t="s">
        <v>166</v>
      </c>
      <c r="C825" t="s">
        <v>52</v>
      </c>
      <c r="D825" t="s">
        <v>33</v>
      </c>
      <c r="E825" s="3">
        <v>1.6</v>
      </c>
      <c r="F825" s="3">
        <v>1.7120000000000002</v>
      </c>
      <c r="G825">
        <v>2.0099999999999998</v>
      </c>
      <c r="H825" s="3">
        <v>3.2159999999999997</v>
      </c>
      <c r="I825">
        <v>95</v>
      </c>
      <c r="J825">
        <v>1</v>
      </c>
      <c r="K825">
        <v>48</v>
      </c>
      <c r="L825" s="13">
        <f>(Table2[[#This Row],[STARTING INVENTORY]]-Table2[[#This Row],[ENDING INVENTORY]])/(Table2[[#This Row],[STARTING INVENTORY]])</f>
        <v>0.49473684210526314</v>
      </c>
      <c r="M825">
        <f>Table2[[#This Row],[STARTING INVENTORY]]-Table2[[#This Row],[ENDING INVENTORY]]</f>
        <v>47</v>
      </c>
    </row>
    <row r="826" spans="1:13">
      <c r="A826" t="s">
        <v>11</v>
      </c>
      <c r="B826" t="s">
        <v>166</v>
      </c>
      <c r="C826" t="s">
        <v>58</v>
      </c>
      <c r="D826" t="s">
        <v>33</v>
      </c>
      <c r="E826" s="3">
        <v>2.1</v>
      </c>
      <c r="F826" s="3">
        <v>2.2470000000000003</v>
      </c>
      <c r="G826">
        <v>2.08</v>
      </c>
      <c r="H826" s="3">
        <v>4.3680000000000003</v>
      </c>
      <c r="I826">
        <v>56</v>
      </c>
      <c r="J826">
        <v>1</v>
      </c>
      <c r="K826">
        <v>5</v>
      </c>
      <c r="L826" s="13">
        <f>(Table2[[#This Row],[STARTING INVENTORY]]-Table2[[#This Row],[ENDING INVENTORY]])/(Table2[[#This Row],[STARTING INVENTORY]])</f>
        <v>0.9107142857142857</v>
      </c>
      <c r="M826">
        <f>Table2[[#This Row],[STARTING INVENTORY]]-Table2[[#This Row],[ENDING INVENTORY]]</f>
        <v>51</v>
      </c>
    </row>
    <row r="827" spans="1:13">
      <c r="A827" t="s">
        <v>11</v>
      </c>
      <c r="B827" t="s">
        <v>166</v>
      </c>
      <c r="C827" t="s">
        <v>64</v>
      </c>
      <c r="D827" t="s">
        <v>33</v>
      </c>
      <c r="E827" s="3">
        <v>1.85</v>
      </c>
      <c r="F827" s="3">
        <v>1.9795000000000003</v>
      </c>
      <c r="G827">
        <v>1.97</v>
      </c>
      <c r="H827" s="3">
        <v>3.6445000000000003</v>
      </c>
      <c r="I827">
        <v>113</v>
      </c>
      <c r="J827">
        <v>1</v>
      </c>
      <c r="K827">
        <v>111</v>
      </c>
      <c r="L827" s="13">
        <f>(Table2[[#This Row],[STARTING INVENTORY]]-Table2[[#This Row],[ENDING INVENTORY]])/(Table2[[#This Row],[STARTING INVENTORY]])</f>
        <v>1.7699115044247787E-2</v>
      </c>
      <c r="M827">
        <f>Table2[[#This Row],[STARTING INVENTORY]]-Table2[[#This Row],[ENDING INVENTORY]]</f>
        <v>2</v>
      </c>
    </row>
    <row r="828" spans="1:13">
      <c r="A828" t="s">
        <v>11</v>
      </c>
      <c r="B828" t="s">
        <v>166</v>
      </c>
      <c r="C828" t="s">
        <v>70</v>
      </c>
      <c r="D828" t="s">
        <v>33</v>
      </c>
      <c r="E828" s="3">
        <v>1.55</v>
      </c>
      <c r="F828" s="3">
        <v>1.6585000000000001</v>
      </c>
      <c r="G828">
        <v>2.02</v>
      </c>
      <c r="H828" s="3">
        <v>3.1310000000000002</v>
      </c>
      <c r="I828">
        <v>56</v>
      </c>
      <c r="J828">
        <v>0</v>
      </c>
      <c r="K828">
        <v>55</v>
      </c>
      <c r="L828" s="13">
        <f>(Table2[[#This Row],[STARTING INVENTORY]]-Table2[[#This Row],[ENDING INVENTORY]])/(Table2[[#This Row],[STARTING INVENTORY]])</f>
        <v>1.7857142857142856E-2</v>
      </c>
      <c r="M828">
        <f>Table2[[#This Row],[STARTING INVENTORY]]-Table2[[#This Row],[ENDING INVENTORY]]</f>
        <v>1</v>
      </c>
    </row>
    <row r="829" spans="1:13">
      <c r="A829" t="s">
        <v>11</v>
      </c>
      <c r="B829" t="s">
        <v>166</v>
      </c>
      <c r="C829" t="s">
        <v>76</v>
      </c>
      <c r="D829" t="s">
        <v>33</v>
      </c>
      <c r="E829" s="3">
        <v>1.55</v>
      </c>
      <c r="F829" s="3">
        <v>1.6585000000000001</v>
      </c>
      <c r="G829">
        <v>1.99</v>
      </c>
      <c r="H829" s="3">
        <v>3.0845000000000002</v>
      </c>
      <c r="I829">
        <v>123</v>
      </c>
      <c r="J829">
        <v>2</v>
      </c>
      <c r="K829">
        <v>75</v>
      </c>
      <c r="L829" s="13">
        <f>(Table2[[#This Row],[STARTING INVENTORY]]-Table2[[#This Row],[ENDING INVENTORY]])/(Table2[[#This Row],[STARTING INVENTORY]])</f>
        <v>0.3902439024390244</v>
      </c>
      <c r="M829">
        <f>Table2[[#This Row],[STARTING INVENTORY]]-Table2[[#This Row],[ENDING INVENTORY]]</f>
        <v>48</v>
      </c>
    </row>
    <row r="830" spans="1:13">
      <c r="A830" t="s">
        <v>11</v>
      </c>
      <c r="B830" t="s">
        <v>166</v>
      </c>
      <c r="C830" t="s">
        <v>82</v>
      </c>
      <c r="D830" t="s">
        <v>33</v>
      </c>
      <c r="E830" s="3">
        <v>1.75</v>
      </c>
      <c r="F830" s="3">
        <v>1.8725000000000001</v>
      </c>
      <c r="G830">
        <v>2.08</v>
      </c>
      <c r="H830" s="3">
        <v>3.64</v>
      </c>
      <c r="I830">
        <v>127</v>
      </c>
      <c r="J830">
        <v>5</v>
      </c>
      <c r="K830">
        <v>50</v>
      </c>
      <c r="L830" s="13">
        <f>(Table2[[#This Row],[STARTING INVENTORY]]-Table2[[#This Row],[ENDING INVENTORY]])/(Table2[[#This Row],[STARTING INVENTORY]])</f>
        <v>0.60629921259842523</v>
      </c>
      <c r="M830">
        <f>Table2[[#This Row],[STARTING INVENTORY]]-Table2[[#This Row],[ENDING INVENTORY]]</f>
        <v>77</v>
      </c>
    </row>
    <row r="831" spans="1:13">
      <c r="A831" t="s">
        <v>11</v>
      </c>
      <c r="B831" t="s">
        <v>166</v>
      </c>
      <c r="C831" t="s">
        <v>88</v>
      </c>
      <c r="D831" t="s">
        <v>33</v>
      </c>
      <c r="E831" s="3">
        <v>2.2000000000000002</v>
      </c>
      <c r="F831" s="3">
        <v>2.3540000000000005</v>
      </c>
      <c r="G831">
        <v>1.99</v>
      </c>
      <c r="H831" s="3">
        <v>4.3780000000000001</v>
      </c>
      <c r="I831">
        <v>108</v>
      </c>
      <c r="J831">
        <v>1</v>
      </c>
      <c r="K831">
        <v>36</v>
      </c>
      <c r="L831" s="13">
        <f>(Table2[[#This Row],[STARTING INVENTORY]]-Table2[[#This Row],[ENDING INVENTORY]])/(Table2[[#This Row],[STARTING INVENTORY]])</f>
        <v>0.66666666666666663</v>
      </c>
      <c r="M831">
        <f>Table2[[#This Row],[STARTING INVENTORY]]-Table2[[#This Row],[ENDING INVENTORY]]</f>
        <v>72</v>
      </c>
    </row>
    <row r="832" spans="1:13">
      <c r="A832" t="s">
        <v>11</v>
      </c>
      <c r="B832" t="s">
        <v>166</v>
      </c>
      <c r="C832" t="s">
        <v>94</v>
      </c>
      <c r="D832" t="s">
        <v>33</v>
      </c>
      <c r="E832" s="3">
        <v>2.75</v>
      </c>
      <c r="F832" s="3">
        <v>2.9425000000000003</v>
      </c>
      <c r="G832">
        <v>1.98</v>
      </c>
      <c r="H832" s="3">
        <v>5.4450000000000003</v>
      </c>
      <c r="I832">
        <v>73</v>
      </c>
      <c r="J832">
        <v>8</v>
      </c>
      <c r="K832">
        <v>16</v>
      </c>
      <c r="L832" s="13">
        <f>(Table2[[#This Row],[STARTING INVENTORY]]-Table2[[#This Row],[ENDING INVENTORY]])/(Table2[[#This Row],[STARTING INVENTORY]])</f>
        <v>0.78082191780821919</v>
      </c>
      <c r="M832">
        <f>Table2[[#This Row],[STARTING INVENTORY]]-Table2[[#This Row],[ENDING INVENTORY]]</f>
        <v>57</v>
      </c>
    </row>
    <row r="833" spans="1:13">
      <c r="A833" t="s">
        <v>11</v>
      </c>
      <c r="B833" t="s">
        <v>166</v>
      </c>
      <c r="C833" t="s">
        <v>100</v>
      </c>
      <c r="D833" t="s">
        <v>33</v>
      </c>
      <c r="E833" s="3">
        <v>2.4</v>
      </c>
      <c r="F833" s="3">
        <v>2.5680000000000001</v>
      </c>
      <c r="G833">
        <v>2.08</v>
      </c>
      <c r="H833" s="3">
        <v>4.992</v>
      </c>
      <c r="I833">
        <v>45</v>
      </c>
      <c r="J833">
        <v>6</v>
      </c>
      <c r="K833">
        <v>22</v>
      </c>
      <c r="L833" s="13">
        <f>(Table2[[#This Row],[STARTING INVENTORY]]-Table2[[#This Row],[ENDING INVENTORY]])/(Table2[[#This Row],[STARTING INVENTORY]])</f>
        <v>0.51111111111111107</v>
      </c>
      <c r="M833">
        <f>Table2[[#This Row],[STARTING INVENTORY]]-Table2[[#This Row],[ENDING INVENTORY]]</f>
        <v>23</v>
      </c>
    </row>
    <row r="834" spans="1:13">
      <c r="A834" t="s">
        <v>11</v>
      </c>
      <c r="B834" t="s">
        <v>166</v>
      </c>
      <c r="C834" t="s">
        <v>106</v>
      </c>
      <c r="D834" t="s">
        <v>33</v>
      </c>
      <c r="E834" s="3">
        <v>2.7</v>
      </c>
      <c r="F834" s="3">
        <v>2.8890000000000002</v>
      </c>
      <c r="G834">
        <v>2.0499999999999998</v>
      </c>
      <c r="H834" s="3">
        <v>5.5350000000000001</v>
      </c>
      <c r="I834">
        <v>92</v>
      </c>
      <c r="J834">
        <v>0</v>
      </c>
      <c r="K834">
        <v>89</v>
      </c>
      <c r="L834" s="13">
        <f>(Table2[[#This Row],[STARTING INVENTORY]]-Table2[[#This Row],[ENDING INVENTORY]])/(Table2[[#This Row],[STARTING INVENTORY]])</f>
        <v>3.2608695652173912E-2</v>
      </c>
      <c r="M834">
        <f>Table2[[#This Row],[STARTING INVENTORY]]-Table2[[#This Row],[ENDING INVENTORY]]</f>
        <v>3</v>
      </c>
    </row>
    <row r="835" spans="1:13">
      <c r="A835" t="s">
        <v>11</v>
      </c>
      <c r="B835" t="s">
        <v>166</v>
      </c>
      <c r="C835" t="s">
        <v>112</v>
      </c>
      <c r="D835" t="s">
        <v>33</v>
      </c>
      <c r="E835" s="3">
        <v>2.6</v>
      </c>
      <c r="F835" s="3">
        <v>2.7820000000000005</v>
      </c>
      <c r="G835">
        <v>2.1</v>
      </c>
      <c r="H835" s="3">
        <v>5.4600000000000009</v>
      </c>
      <c r="I835">
        <v>105</v>
      </c>
      <c r="J835">
        <v>5</v>
      </c>
      <c r="K835">
        <v>28</v>
      </c>
      <c r="L835" s="13">
        <f>(Table2[[#This Row],[STARTING INVENTORY]]-Table2[[#This Row],[ENDING INVENTORY]])/(Table2[[#This Row],[STARTING INVENTORY]])</f>
        <v>0.73333333333333328</v>
      </c>
      <c r="M835">
        <f>Table2[[#This Row],[STARTING INVENTORY]]-Table2[[#This Row],[ENDING INVENTORY]]</f>
        <v>77</v>
      </c>
    </row>
    <row r="836" spans="1:13">
      <c r="A836" t="s">
        <v>11</v>
      </c>
      <c r="B836" t="s">
        <v>166</v>
      </c>
      <c r="C836" t="s">
        <v>118</v>
      </c>
      <c r="D836" t="s">
        <v>33</v>
      </c>
      <c r="E836" s="3">
        <v>4</v>
      </c>
      <c r="F836" s="3">
        <v>4.28</v>
      </c>
      <c r="G836">
        <v>2.0099999999999998</v>
      </c>
      <c r="H836" s="3">
        <v>8.0399999999999991</v>
      </c>
      <c r="I836">
        <v>116</v>
      </c>
      <c r="J836">
        <v>2</v>
      </c>
      <c r="K836">
        <v>32</v>
      </c>
      <c r="L836" s="13">
        <f>(Table2[[#This Row],[STARTING INVENTORY]]-Table2[[#This Row],[ENDING INVENTORY]])/(Table2[[#This Row],[STARTING INVENTORY]])</f>
        <v>0.72413793103448276</v>
      </c>
      <c r="M836">
        <f>Table2[[#This Row],[STARTING INVENTORY]]-Table2[[#This Row],[ENDING INVENTORY]]</f>
        <v>84</v>
      </c>
    </row>
    <row r="837" spans="1:13">
      <c r="A837" t="s">
        <v>11</v>
      </c>
      <c r="B837" t="s">
        <v>166</v>
      </c>
      <c r="C837" t="s">
        <v>124</v>
      </c>
      <c r="D837" t="s">
        <v>33</v>
      </c>
      <c r="E837" s="3">
        <v>4.25</v>
      </c>
      <c r="F837" s="3">
        <v>4.5475000000000003</v>
      </c>
      <c r="G837">
        <v>2.08</v>
      </c>
      <c r="H837" s="3">
        <v>8.84</v>
      </c>
      <c r="I837">
        <v>146</v>
      </c>
      <c r="J837">
        <v>2</v>
      </c>
      <c r="K837">
        <v>59</v>
      </c>
      <c r="L837" s="13">
        <f>(Table2[[#This Row],[STARTING INVENTORY]]-Table2[[#This Row],[ENDING INVENTORY]])/(Table2[[#This Row],[STARTING INVENTORY]])</f>
        <v>0.59589041095890416</v>
      </c>
      <c r="M837">
        <f>Table2[[#This Row],[STARTING INVENTORY]]-Table2[[#This Row],[ENDING INVENTORY]]</f>
        <v>87</v>
      </c>
    </row>
    <row r="838" spans="1:13">
      <c r="A838" t="s">
        <v>11</v>
      </c>
      <c r="B838" t="s">
        <v>166</v>
      </c>
      <c r="C838" t="s">
        <v>130</v>
      </c>
      <c r="D838" t="s">
        <v>33</v>
      </c>
      <c r="E838" s="3">
        <v>5</v>
      </c>
      <c r="F838" s="3">
        <v>5.3500000000000005</v>
      </c>
      <c r="G838">
        <v>2.08</v>
      </c>
      <c r="H838" s="3">
        <v>10.4</v>
      </c>
      <c r="I838">
        <v>82</v>
      </c>
      <c r="J838">
        <v>1</v>
      </c>
      <c r="K838">
        <v>54</v>
      </c>
      <c r="L838" s="13">
        <f>(Table2[[#This Row],[STARTING INVENTORY]]-Table2[[#This Row],[ENDING INVENTORY]])/(Table2[[#This Row],[STARTING INVENTORY]])</f>
        <v>0.34146341463414637</v>
      </c>
      <c r="M838">
        <f>Table2[[#This Row],[STARTING INVENTORY]]-Table2[[#This Row],[ENDING INVENTORY]]</f>
        <v>28</v>
      </c>
    </row>
    <row r="839" spans="1:13">
      <c r="A839" t="s">
        <v>11</v>
      </c>
      <c r="B839" t="s">
        <v>166</v>
      </c>
      <c r="C839" t="s">
        <v>136</v>
      </c>
      <c r="D839" t="s">
        <v>33</v>
      </c>
      <c r="E839" s="3">
        <v>3</v>
      </c>
      <c r="F839" s="3">
        <v>3.21</v>
      </c>
      <c r="G839">
        <v>1.99</v>
      </c>
      <c r="H839" s="3">
        <v>5.97</v>
      </c>
      <c r="I839">
        <v>114</v>
      </c>
      <c r="J839">
        <v>2</v>
      </c>
      <c r="K839">
        <v>9</v>
      </c>
      <c r="L839" s="13">
        <f>(Table2[[#This Row],[STARTING INVENTORY]]-Table2[[#This Row],[ENDING INVENTORY]])/(Table2[[#This Row],[STARTING INVENTORY]])</f>
        <v>0.92105263157894735</v>
      </c>
      <c r="M839">
        <f>Table2[[#This Row],[STARTING INVENTORY]]-Table2[[#This Row],[ENDING INVENTORY]]</f>
        <v>105</v>
      </c>
    </row>
    <row r="840" spans="1:13">
      <c r="A840" t="s">
        <v>11</v>
      </c>
      <c r="B840" t="s">
        <v>166</v>
      </c>
      <c r="C840" t="s">
        <v>142</v>
      </c>
      <c r="D840" t="s">
        <v>33</v>
      </c>
      <c r="E840" s="3">
        <v>2.4</v>
      </c>
      <c r="F840" s="3">
        <v>2.5680000000000001</v>
      </c>
      <c r="G840">
        <v>1.98</v>
      </c>
      <c r="H840" s="3">
        <v>4.7519999999999998</v>
      </c>
      <c r="I840">
        <v>62</v>
      </c>
      <c r="J840">
        <v>1</v>
      </c>
      <c r="K840">
        <v>46</v>
      </c>
      <c r="L840" s="13">
        <f>(Table2[[#This Row],[STARTING INVENTORY]]-Table2[[#This Row],[ENDING INVENTORY]])/(Table2[[#This Row],[STARTING INVENTORY]])</f>
        <v>0.25806451612903225</v>
      </c>
      <c r="M840">
        <f>Table2[[#This Row],[STARTING INVENTORY]]-Table2[[#This Row],[ENDING INVENTORY]]</f>
        <v>16</v>
      </c>
    </row>
    <row r="841" spans="1:13">
      <c r="A841" t="s">
        <v>11</v>
      </c>
      <c r="B841" t="s">
        <v>166</v>
      </c>
      <c r="C841" t="s">
        <v>148</v>
      </c>
      <c r="D841" t="s">
        <v>33</v>
      </c>
      <c r="E841" s="3">
        <v>3.25</v>
      </c>
      <c r="F841" s="3">
        <v>3.4775</v>
      </c>
      <c r="G841">
        <v>2.0300000000000002</v>
      </c>
      <c r="H841" s="3">
        <v>6.597500000000001</v>
      </c>
      <c r="I841">
        <v>94</v>
      </c>
      <c r="J841">
        <v>2</v>
      </c>
      <c r="K841">
        <v>22</v>
      </c>
      <c r="L841" s="13">
        <f>(Table2[[#This Row],[STARTING INVENTORY]]-Table2[[#This Row],[ENDING INVENTORY]])/(Table2[[#This Row],[STARTING INVENTORY]])</f>
        <v>0.76595744680851063</v>
      </c>
      <c r="M841">
        <f>Table2[[#This Row],[STARTING INVENTORY]]-Table2[[#This Row],[ENDING INVENTORY]]</f>
        <v>72</v>
      </c>
    </row>
    <row r="842" spans="1:13">
      <c r="A842" t="s">
        <v>12</v>
      </c>
      <c r="B842" t="s">
        <v>161</v>
      </c>
      <c r="C842" t="s">
        <v>28</v>
      </c>
      <c r="D842" t="s">
        <v>29</v>
      </c>
      <c r="E842" s="3">
        <v>0.35</v>
      </c>
      <c r="F842" s="3">
        <v>0.36049999999999999</v>
      </c>
      <c r="G842">
        <v>2.06</v>
      </c>
      <c r="H842" s="3">
        <v>0.72099999999999997</v>
      </c>
      <c r="I842">
        <v>129</v>
      </c>
      <c r="J842">
        <v>3</v>
      </c>
      <c r="K842">
        <f>Table2[[#This Row],[STARTING INVENTORY]]</f>
        <v>129</v>
      </c>
      <c r="L842" s="13">
        <f>(Table2[[#This Row],[STARTING INVENTORY]]-Table2[[#This Row],[ENDING INVENTORY]])/(Table2[[#This Row],[STARTING INVENTORY]])</f>
        <v>0</v>
      </c>
      <c r="M842">
        <f>Table2[[#This Row],[STARTING INVENTORY]]-Table2[[#This Row],[ENDING INVENTORY]]</f>
        <v>0</v>
      </c>
    </row>
    <row r="843" spans="1:13">
      <c r="A843" t="s">
        <v>12</v>
      </c>
      <c r="B843" t="s">
        <v>161</v>
      </c>
      <c r="C843" t="s">
        <v>36</v>
      </c>
      <c r="D843" t="s">
        <v>29</v>
      </c>
      <c r="E843" s="3">
        <v>0.85</v>
      </c>
      <c r="F843" s="3">
        <v>0.87549999999999994</v>
      </c>
      <c r="G843">
        <v>2.0099999999999998</v>
      </c>
      <c r="H843" s="3">
        <v>1.7084999999999997</v>
      </c>
      <c r="I843">
        <v>144</v>
      </c>
      <c r="J843">
        <v>3</v>
      </c>
      <c r="K843">
        <f>Table2[[#This Row],[STARTING INVENTORY]]</f>
        <v>144</v>
      </c>
      <c r="L843" s="13">
        <f>(Table2[[#This Row],[STARTING INVENTORY]]-Table2[[#This Row],[ENDING INVENTORY]])/(Table2[[#This Row],[STARTING INVENTORY]])</f>
        <v>0</v>
      </c>
      <c r="M843">
        <f>Table2[[#This Row],[STARTING INVENTORY]]-Table2[[#This Row],[ENDING INVENTORY]]</f>
        <v>0</v>
      </c>
    </row>
    <row r="844" spans="1:13">
      <c r="A844" t="s">
        <v>12</v>
      </c>
      <c r="B844" t="s">
        <v>161</v>
      </c>
      <c r="C844" t="s">
        <v>42</v>
      </c>
      <c r="D844" t="s">
        <v>29</v>
      </c>
      <c r="E844" s="3">
        <v>0.7</v>
      </c>
      <c r="F844" s="3">
        <v>0.72099999999999997</v>
      </c>
      <c r="G844">
        <v>2.0099999999999998</v>
      </c>
      <c r="H844" s="3">
        <v>1.4069999999999998</v>
      </c>
      <c r="I844">
        <v>167</v>
      </c>
      <c r="J844">
        <v>2</v>
      </c>
      <c r="K844">
        <f>Table2[[#This Row],[STARTING INVENTORY]]</f>
        <v>167</v>
      </c>
      <c r="L844" s="13">
        <f>(Table2[[#This Row],[STARTING INVENTORY]]-Table2[[#This Row],[ENDING INVENTORY]])/(Table2[[#This Row],[STARTING INVENTORY]])</f>
        <v>0</v>
      </c>
      <c r="M844">
        <f>Table2[[#This Row],[STARTING INVENTORY]]-Table2[[#This Row],[ENDING INVENTORY]]</f>
        <v>0</v>
      </c>
    </row>
    <row r="845" spans="1:13">
      <c r="A845" t="s">
        <v>12</v>
      </c>
      <c r="B845" t="s">
        <v>161</v>
      </c>
      <c r="C845" t="s">
        <v>48</v>
      </c>
      <c r="D845" t="s">
        <v>33</v>
      </c>
      <c r="E845" s="3">
        <v>0.35</v>
      </c>
      <c r="F845" s="3">
        <v>0.36049999999999999</v>
      </c>
      <c r="G845">
        <v>2.1</v>
      </c>
      <c r="H845" s="3">
        <v>0.73499999999999999</v>
      </c>
      <c r="I845">
        <v>193</v>
      </c>
      <c r="J845">
        <v>4</v>
      </c>
      <c r="K845">
        <f>Table2[[#This Row],[STARTING INVENTORY]]</f>
        <v>193</v>
      </c>
      <c r="L845" s="13">
        <f>(Table2[[#This Row],[STARTING INVENTORY]]-Table2[[#This Row],[ENDING INVENTORY]])/(Table2[[#This Row],[STARTING INVENTORY]])</f>
        <v>0</v>
      </c>
      <c r="M845">
        <f>Table2[[#This Row],[STARTING INVENTORY]]-Table2[[#This Row],[ENDING INVENTORY]]</f>
        <v>0</v>
      </c>
    </row>
    <row r="846" spans="1:13">
      <c r="A846" t="s">
        <v>12</v>
      </c>
      <c r="B846" t="s">
        <v>161</v>
      </c>
      <c r="C846" t="s">
        <v>54</v>
      </c>
      <c r="D846" t="s">
        <v>33</v>
      </c>
      <c r="E846" s="3">
        <v>0.2</v>
      </c>
      <c r="F846" s="3">
        <v>0.20600000000000002</v>
      </c>
      <c r="G846">
        <v>2.0300000000000002</v>
      </c>
      <c r="H846" s="3">
        <v>0.40600000000000008</v>
      </c>
      <c r="I846">
        <v>57</v>
      </c>
      <c r="J846">
        <v>0</v>
      </c>
      <c r="K846">
        <f>Table2[[#This Row],[STARTING INVENTORY]]</f>
        <v>57</v>
      </c>
      <c r="L846" s="13">
        <f>(Table2[[#This Row],[STARTING INVENTORY]]-Table2[[#This Row],[ENDING INVENTORY]])/(Table2[[#This Row],[STARTING INVENTORY]])</f>
        <v>0</v>
      </c>
      <c r="M846">
        <f>Table2[[#This Row],[STARTING INVENTORY]]-Table2[[#This Row],[ENDING INVENTORY]]</f>
        <v>0</v>
      </c>
    </row>
    <row r="847" spans="1:13">
      <c r="A847" t="s">
        <v>12</v>
      </c>
      <c r="B847" t="s">
        <v>161</v>
      </c>
      <c r="C847" t="s">
        <v>60</v>
      </c>
      <c r="D847" t="s">
        <v>33</v>
      </c>
      <c r="E847" s="3">
        <v>0.75</v>
      </c>
      <c r="F847" s="3">
        <v>0.77249999999999996</v>
      </c>
      <c r="G847">
        <v>2</v>
      </c>
      <c r="H847" s="3">
        <v>1.5</v>
      </c>
      <c r="I847">
        <v>181</v>
      </c>
      <c r="J847">
        <v>0</v>
      </c>
      <c r="K847">
        <f>Table2[[#This Row],[STARTING INVENTORY]]</f>
        <v>181</v>
      </c>
      <c r="L847" s="13">
        <f>(Table2[[#This Row],[STARTING INVENTORY]]-Table2[[#This Row],[ENDING INVENTORY]])/(Table2[[#This Row],[STARTING INVENTORY]])</f>
        <v>0</v>
      </c>
      <c r="M847">
        <f>Table2[[#This Row],[STARTING INVENTORY]]-Table2[[#This Row],[ENDING INVENTORY]]</f>
        <v>0</v>
      </c>
    </row>
    <row r="848" spans="1:13">
      <c r="A848" t="s">
        <v>12</v>
      </c>
      <c r="B848" t="s">
        <v>161</v>
      </c>
      <c r="C848" t="s">
        <v>66</v>
      </c>
      <c r="D848" t="s">
        <v>29</v>
      </c>
      <c r="E848" s="3">
        <v>0.6</v>
      </c>
      <c r="F848" s="3">
        <v>0.61799999999999999</v>
      </c>
      <c r="G848">
        <v>2.0099999999999998</v>
      </c>
      <c r="H848" s="3">
        <v>1.2059999999999997</v>
      </c>
      <c r="I848">
        <v>153</v>
      </c>
      <c r="J848">
        <v>5</v>
      </c>
      <c r="K848">
        <f>Table2[[#This Row],[STARTING INVENTORY]]</f>
        <v>153</v>
      </c>
      <c r="L848" s="13">
        <f>(Table2[[#This Row],[STARTING INVENTORY]]-Table2[[#This Row],[ENDING INVENTORY]])/(Table2[[#This Row],[STARTING INVENTORY]])</f>
        <v>0</v>
      </c>
      <c r="M848">
        <f>Table2[[#This Row],[STARTING INVENTORY]]-Table2[[#This Row],[ENDING INVENTORY]]</f>
        <v>0</v>
      </c>
    </row>
    <row r="849" spans="1:13">
      <c r="A849" t="s">
        <v>12</v>
      </c>
      <c r="B849" t="s">
        <v>161</v>
      </c>
      <c r="C849" t="s">
        <v>72</v>
      </c>
      <c r="D849" t="s">
        <v>29</v>
      </c>
      <c r="E849" s="3">
        <v>0.45</v>
      </c>
      <c r="F849" s="3">
        <v>0.46350000000000002</v>
      </c>
      <c r="G849">
        <v>2.08</v>
      </c>
      <c r="H849" s="3">
        <v>0.93600000000000005</v>
      </c>
      <c r="I849">
        <v>181</v>
      </c>
      <c r="J849">
        <v>1</v>
      </c>
      <c r="K849">
        <f>Table2[[#This Row],[STARTING INVENTORY]]</f>
        <v>181</v>
      </c>
      <c r="L849" s="13">
        <f>(Table2[[#This Row],[STARTING INVENTORY]]-Table2[[#This Row],[ENDING INVENTORY]])/(Table2[[#This Row],[STARTING INVENTORY]])</f>
        <v>0</v>
      </c>
      <c r="M849">
        <f>Table2[[#This Row],[STARTING INVENTORY]]-Table2[[#This Row],[ENDING INVENTORY]]</f>
        <v>0</v>
      </c>
    </row>
    <row r="850" spans="1:13">
      <c r="A850" t="s">
        <v>12</v>
      </c>
      <c r="B850" t="s">
        <v>161</v>
      </c>
      <c r="C850" t="s">
        <v>78</v>
      </c>
      <c r="D850" t="s">
        <v>29</v>
      </c>
      <c r="E850" s="3">
        <v>0.4</v>
      </c>
      <c r="F850" s="3">
        <v>0.41200000000000003</v>
      </c>
      <c r="G850">
        <v>1.96</v>
      </c>
      <c r="H850" s="3">
        <v>0.78400000000000003</v>
      </c>
      <c r="I850">
        <v>74</v>
      </c>
      <c r="J850">
        <v>0</v>
      </c>
      <c r="K850">
        <f>Table2[[#This Row],[STARTING INVENTORY]]</f>
        <v>74</v>
      </c>
      <c r="L850" s="13">
        <f>(Table2[[#This Row],[STARTING INVENTORY]]-Table2[[#This Row],[ENDING INVENTORY]])/(Table2[[#This Row],[STARTING INVENTORY]])</f>
        <v>0</v>
      </c>
      <c r="M850">
        <f>Table2[[#This Row],[STARTING INVENTORY]]-Table2[[#This Row],[ENDING INVENTORY]]</f>
        <v>0</v>
      </c>
    </row>
    <row r="851" spans="1:13">
      <c r="A851" t="s">
        <v>12</v>
      </c>
      <c r="B851" t="s">
        <v>161</v>
      </c>
      <c r="C851" t="s">
        <v>84</v>
      </c>
      <c r="D851" t="s">
        <v>29</v>
      </c>
      <c r="E851" s="3">
        <v>0.35</v>
      </c>
      <c r="F851" s="3">
        <v>0.36049999999999999</v>
      </c>
      <c r="G851">
        <v>1.95</v>
      </c>
      <c r="H851" s="3">
        <v>0.6825</v>
      </c>
      <c r="I851">
        <v>145</v>
      </c>
      <c r="J851">
        <v>0</v>
      </c>
      <c r="K851">
        <f>Table2[[#This Row],[STARTING INVENTORY]]</f>
        <v>145</v>
      </c>
      <c r="L851" s="13">
        <f>(Table2[[#This Row],[STARTING INVENTORY]]-Table2[[#This Row],[ENDING INVENTORY]])/(Table2[[#This Row],[STARTING INVENTORY]])</f>
        <v>0</v>
      </c>
      <c r="M851">
        <f>Table2[[#This Row],[STARTING INVENTORY]]-Table2[[#This Row],[ENDING INVENTORY]]</f>
        <v>0</v>
      </c>
    </row>
    <row r="852" spans="1:13">
      <c r="A852" t="s">
        <v>12</v>
      </c>
      <c r="B852" t="s">
        <v>161</v>
      </c>
      <c r="C852" t="s">
        <v>90</v>
      </c>
      <c r="D852" t="s">
        <v>29</v>
      </c>
      <c r="E852" s="3">
        <v>0.9</v>
      </c>
      <c r="F852" s="3">
        <v>0.92700000000000005</v>
      </c>
      <c r="G852">
        <v>2.0499999999999998</v>
      </c>
      <c r="H852" s="3">
        <v>1.845</v>
      </c>
      <c r="I852">
        <v>142</v>
      </c>
      <c r="J852">
        <v>0</v>
      </c>
      <c r="K852">
        <f>Table2[[#This Row],[STARTING INVENTORY]]</f>
        <v>142</v>
      </c>
      <c r="L852" s="13">
        <f>(Table2[[#This Row],[STARTING INVENTORY]]-Table2[[#This Row],[ENDING INVENTORY]])/(Table2[[#This Row],[STARTING INVENTORY]])</f>
        <v>0</v>
      </c>
      <c r="M852">
        <f>Table2[[#This Row],[STARTING INVENTORY]]-Table2[[#This Row],[ENDING INVENTORY]]</f>
        <v>0</v>
      </c>
    </row>
    <row r="853" spans="1:13">
      <c r="A853" t="s">
        <v>12</v>
      </c>
      <c r="B853" t="s">
        <v>161</v>
      </c>
      <c r="C853" t="s">
        <v>96</v>
      </c>
      <c r="D853" t="s">
        <v>33</v>
      </c>
      <c r="E853" s="3">
        <v>1</v>
      </c>
      <c r="F853" s="3">
        <v>1.03</v>
      </c>
      <c r="G853">
        <v>2.06</v>
      </c>
      <c r="H853" s="3">
        <v>2.06</v>
      </c>
      <c r="I853">
        <v>110</v>
      </c>
      <c r="J853">
        <v>8</v>
      </c>
      <c r="K853">
        <f>Table2[[#This Row],[STARTING INVENTORY]]</f>
        <v>110</v>
      </c>
      <c r="L853" s="13">
        <f>(Table2[[#This Row],[STARTING INVENTORY]]-Table2[[#This Row],[ENDING INVENTORY]])/(Table2[[#This Row],[STARTING INVENTORY]])</f>
        <v>0</v>
      </c>
      <c r="M853">
        <f>Table2[[#This Row],[STARTING INVENTORY]]-Table2[[#This Row],[ENDING INVENTORY]]</f>
        <v>0</v>
      </c>
    </row>
    <row r="854" spans="1:13">
      <c r="A854" t="s">
        <v>12</v>
      </c>
      <c r="B854" t="s">
        <v>161</v>
      </c>
      <c r="C854" t="s">
        <v>102</v>
      </c>
      <c r="D854" t="s">
        <v>29</v>
      </c>
      <c r="E854" s="3">
        <v>2.56</v>
      </c>
      <c r="F854" s="3">
        <v>2.6368</v>
      </c>
      <c r="G854">
        <v>2</v>
      </c>
      <c r="H854" s="3">
        <v>5.12</v>
      </c>
      <c r="I854">
        <v>171</v>
      </c>
      <c r="J854">
        <v>2</v>
      </c>
      <c r="K854">
        <f>Table2[[#This Row],[STARTING INVENTORY]]</f>
        <v>171</v>
      </c>
      <c r="L854" s="13">
        <f>(Table2[[#This Row],[STARTING INVENTORY]]-Table2[[#This Row],[ENDING INVENTORY]])/(Table2[[#This Row],[STARTING INVENTORY]])</f>
        <v>0</v>
      </c>
      <c r="M854">
        <f>Table2[[#This Row],[STARTING INVENTORY]]-Table2[[#This Row],[ENDING INVENTORY]]</f>
        <v>0</v>
      </c>
    </row>
    <row r="855" spans="1:13">
      <c r="A855" t="s">
        <v>12</v>
      </c>
      <c r="B855" t="s">
        <v>161</v>
      </c>
      <c r="C855" t="s">
        <v>108</v>
      </c>
      <c r="D855" t="s">
        <v>29</v>
      </c>
      <c r="E855" s="3">
        <v>0.75</v>
      </c>
      <c r="F855" s="3">
        <v>0.77249999999999996</v>
      </c>
      <c r="G855">
        <v>2.0300000000000002</v>
      </c>
      <c r="H855" s="3">
        <v>1.5225000000000002</v>
      </c>
      <c r="I855">
        <v>100</v>
      </c>
      <c r="J855">
        <v>7</v>
      </c>
      <c r="K855">
        <f>Table2[[#This Row],[STARTING INVENTORY]]</f>
        <v>100</v>
      </c>
      <c r="L855" s="13">
        <f>(Table2[[#This Row],[STARTING INVENTORY]]-Table2[[#This Row],[ENDING INVENTORY]])/(Table2[[#This Row],[STARTING INVENTORY]])</f>
        <v>0</v>
      </c>
      <c r="M855">
        <f>Table2[[#This Row],[STARTING INVENTORY]]-Table2[[#This Row],[ENDING INVENTORY]]</f>
        <v>0</v>
      </c>
    </row>
    <row r="856" spans="1:13">
      <c r="A856" t="s">
        <v>12</v>
      </c>
      <c r="B856" t="s">
        <v>161</v>
      </c>
      <c r="C856" t="s">
        <v>114</v>
      </c>
      <c r="D856" t="s">
        <v>33</v>
      </c>
      <c r="E856" s="3">
        <v>0.4</v>
      </c>
      <c r="F856" s="3">
        <v>0.41200000000000003</v>
      </c>
      <c r="G856">
        <v>2.06</v>
      </c>
      <c r="H856" s="3">
        <v>0.82400000000000007</v>
      </c>
      <c r="I856">
        <v>196</v>
      </c>
      <c r="J856">
        <v>2</v>
      </c>
      <c r="K856">
        <f>Table2[[#This Row],[STARTING INVENTORY]]</f>
        <v>196</v>
      </c>
      <c r="L856" s="13">
        <f>(Table2[[#This Row],[STARTING INVENTORY]]-Table2[[#This Row],[ENDING INVENTORY]])/(Table2[[#This Row],[STARTING INVENTORY]])</f>
        <v>0</v>
      </c>
      <c r="M856">
        <f>Table2[[#This Row],[STARTING INVENTORY]]-Table2[[#This Row],[ENDING INVENTORY]]</f>
        <v>0</v>
      </c>
    </row>
    <row r="857" spans="1:13">
      <c r="A857" t="s">
        <v>12</v>
      </c>
      <c r="B857" t="s">
        <v>161</v>
      </c>
      <c r="C857" t="s">
        <v>120</v>
      </c>
      <c r="D857" t="s">
        <v>29</v>
      </c>
      <c r="E857" s="3">
        <v>1.4</v>
      </c>
      <c r="F857" s="3">
        <v>1.4419999999999999</v>
      </c>
      <c r="G857">
        <v>1.95</v>
      </c>
      <c r="H857" s="3">
        <v>2.73</v>
      </c>
      <c r="I857">
        <v>70</v>
      </c>
      <c r="J857">
        <v>2</v>
      </c>
      <c r="K857">
        <f>Table2[[#This Row],[STARTING INVENTORY]]</f>
        <v>70</v>
      </c>
      <c r="L857" s="13">
        <f>(Table2[[#This Row],[STARTING INVENTORY]]-Table2[[#This Row],[ENDING INVENTORY]])/(Table2[[#This Row],[STARTING INVENTORY]])</f>
        <v>0</v>
      </c>
      <c r="M857">
        <f>Table2[[#This Row],[STARTING INVENTORY]]-Table2[[#This Row],[ENDING INVENTORY]]</f>
        <v>0</v>
      </c>
    </row>
    <row r="858" spans="1:13">
      <c r="A858" t="s">
        <v>12</v>
      </c>
      <c r="B858" t="s">
        <v>161</v>
      </c>
      <c r="C858" t="s">
        <v>126</v>
      </c>
      <c r="D858" t="s">
        <v>29</v>
      </c>
      <c r="E858" s="3">
        <v>2</v>
      </c>
      <c r="F858" s="3">
        <v>2.06</v>
      </c>
      <c r="G858">
        <v>2.06</v>
      </c>
      <c r="H858" s="3">
        <v>4.12</v>
      </c>
      <c r="I858">
        <v>54</v>
      </c>
      <c r="J858">
        <v>1</v>
      </c>
      <c r="K858">
        <f>Table2[[#This Row],[STARTING INVENTORY]]</f>
        <v>54</v>
      </c>
      <c r="L858" s="13">
        <f>(Table2[[#This Row],[STARTING INVENTORY]]-Table2[[#This Row],[ENDING INVENTORY]])/(Table2[[#This Row],[STARTING INVENTORY]])</f>
        <v>0</v>
      </c>
      <c r="M858">
        <f>Table2[[#This Row],[STARTING INVENTORY]]-Table2[[#This Row],[ENDING INVENTORY]]</f>
        <v>0</v>
      </c>
    </row>
    <row r="859" spans="1:13">
      <c r="A859" t="s">
        <v>12</v>
      </c>
      <c r="B859" t="s">
        <v>161</v>
      </c>
      <c r="C859" t="s">
        <v>132</v>
      </c>
      <c r="D859" t="s">
        <v>29</v>
      </c>
      <c r="E859" s="3">
        <v>0.45</v>
      </c>
      <c r="F859" s="3">
        <v>0.46350000000000002</v>
      </c>
      <c r="G859">
        <v>2.09</v>
      </c>
      <c r="H859" s="3">
        <v>0.9405</v>
      </c>
      <c r="I859">
        <v>141</v>
      </c>
      <c r="J859">
        <v>3</v>
      </c>
      <c r="K859">
        <f>Table2[[#This Row],[STARTING INVENTORY]]</f>
        <v>141</v>
      </c>
      <c r="L859" s="13">
        <f>(Table2[[#This Row],[STARTING INVENTORY]]-Table2[[#This Row],[ENDING INVENTORY]])/(Table2[[#This Row],[STARTING INVENTORY]])</f>
        <v>0</v>
      </c>
      <c r="M859">
        <f>Table2[[#This Row],[STARTING INVENTORY]]-Table2[[#This Row],[ENDING INVENTORY]]</f>
        <v>0</v>
      </c>
    </row>
    <row r="860" spans="1:13">
      <c r="A860" t="s">
        <v>12</v>
      </c>
      <c r="B860" t="s">
        <v>161</v>
      </c>
      <c r="C860" t="s">
        <v>138</v>
      </c>
      <c r="D860" t="s">
        <v>33</v>
      </c>
      <c r="E860" s="3">
        <v>1.9</v>
      </c>
      <c r="F860" s="3">
        <v>1.9569999999999999</v>
      </c>
      <c r="G860">
        <v>1.95</v>
      </c>
      <c r="H860" s="3">
        <v>3.7049999999999996</v>
      </c>
      <c r="I860">
        <v>110</v>
      </c>
      <c r="J860">
        <v>0</v>
      </c>
      <c r="K860">
        <f>Table2[[#This Row],[STARTING INVENTORY]]</f>
        <v>110</v>
      </c>
      <c r="L860" s="13">
        <f>(Table2[[#This Row],[STARTING INVENTORY]]-Table2[[#This Row],[ENDING INVENTORY]])/(Table2[[#This Row],[STARTING INVENTORY]])</f>
        <v>0</v>
      </c>
      <c r="M860">
        <f>Table2[[#This Row],[STARTING INVENTORY]]-Table2[[#This Row],[ENDING INVENTORY]]</f>
        <v>0</v>
      </c>
    </row>
    <row r="861" spans="1:13">
      <c r="A861" t="s">
        <v>12</v>
      </c>
      <c r="B861" t="s">
        <v>161</v>
      </c>
      <c r="C861" t="s">
        <v>144</v>
      </c>
      <c r="D861" t="s">
        <v>33</v>
      </c>
      <c r="E861" s="3">
        <v>4</v>
      </c>
      <c r="F861" s="3">
        <v>4.12</v>
      </c>
      <c r="G861">
        <v>1.95</v>
      </c>
      <c r="H861" s="3">
        <v>7.8</v>
      </c>
      <c r="I861">
        <v>71</v>
      </c>
      <c r="J861">
        <v>6</v>
      </c>
      <c r="K861">
        <f>Table2[[#This Row],[STARTING INVENTORY]]</f>
        <v>71</v>
      </c>
      <c r="L861" s="13">
        <f>(Table2[[#This Row],[STARTING INVENTORY]]-Table2[[#This Row],[ENDING INVENTORY]])/(Table2[[#This Row],[STARTING INVENTORY]])</f>
        <v>0</v>
      </c>
      <c r="M861">
        <f>Table2[[#This Row],[STARTING INVENTORY]]-Table2[[#This Row],[ENDING INVENTORY]]</f>
        <v>0</v>
      </c>
    </row>
    <row r="862" spans="1:13">
      <c r="A862" t="s">
        <v>12</v>
      </c>
      <c r="B862" t="s">
        <v>162</v>
      </c>
      <c r="C862" t="s">
        <v>30</v>
      </c>
      <c r="D862" t="s">
        <v>29</v>
      </c>
      <c r="E862" s="3">
        <v>2.85</v>
      </c>
      <c r="F862" s="3">
        <v>2.9355000000000002</v>
      </c>
      <c r="G862">
        <v>2.09</v>
      </c>
      <c r="H862" s="3">
        <v>5.9565000000000001</v>
      </c>
      <c r="I862">
        <v>40</v>
      </c>
      <c r="J862">
        <v>5</v>
      </c>
      <c r="K862">
        <f>Table2[[#This Row],[STARTING INVENTORY]]</f>
        <v>40</v>
      </c>
      <c r="L862" s="13">
        <f>(Table2[[#This Row],[STARTING INVENTORY]]-Table2[[#This Row],[ENDING INVENTORY]])/(Table2[[#This Row],[STARTING INVENTORY]])</f>
        <v>0</v>
      </c>
      <c r="M862">
        <f>Table2[[#This Row],[STARTING INVENTORY]]-Table2[[#This Row],[ENDING INVENTORY]]</f>
        <v>0</v>
      </c>
    </row>
    <row r="863" spans="1:13">
      <c r="A863" t="s">
        <v>12</v>
      </c>
      <c r="B863" t="s">
        <v>162</v>
      </c>
      <c r="C863" t="s">
        <v>37</v>
      </c>
      <c r="D863" t="s">
        <v>29</v>
      </c>
      <c r="E863" s="3">
        <v>2.5</v>
      </c>
      <c r="F863" s="3">
        <v>2.5750000000000002</v>
      </c>
      <c r="G863">
        <v>2.0300000000000002</v>
      </c>
      <c r="H863" s="3">
        <v>5.0750000000000011</v>
      </c>
      <c r="I863">
        <v>89</v>
      </c>
      <c r="J863">
        <v>1</v>
      </c>
      <c r="K863">
        <f>Table2[[#This Row],[STARTING INVENTORY]]</f>
        <v>89</v>
      </c>
      <c r="L863" s="13">
        <f>(Table2[[#This Row],[STARTING INVENTORY]]-Table2[[#This Row],[ENDING INVENTORY]])/(Table2[[#This Row],[STARTING INVENTORY]])</f>
        <v>0</v>
      </c>
      <c r="M863">
        <f>Table2[[#This Row],[STARTING INVENTORY]]-Table2[[#This Row],[ENDING INVENTORY]]</f>
        <v>0</v>
      </c>
    </row>
    <row r="864" spans="1:13">
      <c r="A864" t="s">
        <v>12</v>
      </c>
      <c r="B864" t="s">
        <v>162</v>
      </c>
      <c r="C864" t="s">
        <v>43</v>
      </c>
      <c r="D864" t="s">
        <v>29</v>
      </c>
      <c r="E864" s="3">
        <v>2.1</v>
      </c>
      <c r="F864" s="3">
        <v>2.1630000000000003</v>
      </c>
      <c r="G864">
        <v>2.1</v>
      </c>
      <c r="H864" s="3">
        <v>4.41</v>
      </c>
      <c r="I864">
        <v>20</v>
      </c>
      <c r="J864">
        <v>8</v>
      </c>
      <c r="K864">
        <f>Table2[[#This Row],[STARTING INVENTORY]]</f>
        <v>20</v>
      </c>
      <c r="L864" s="13">
        <f>(Table2[[#This Row],[STARTING INVENTORY]]-Table2[[#This Row],[ENDING INVENTORY]])/(Table2[[#This Row],[STARTING INVENTORY]])</f>
        <v>0</v>
      </c>
      <c r="M864">
        <f>Table2[[#This Row],[STARTING INVENTORY]]-Table2[[#This Row],[ENDING INVENTORY]]</f>
        <v>0</v>
      </c>
    </row>
    <row r="865" spans="1:13">
      <c r="A865" t="s">
        <v>12</v>
      </c>
      <c r="B865" t="s">
        <v>162</v>
      </c>
      <c r="C865" t="s">
        <v>49</v>
      </c>
      <c r="D865" t="s">
        <v>29</v>
      </c>
      <c r="E865" s="3">
        <v>1</v>
      </c>
      <c r="F865" s="3">
        <v>1.03</v>
      </c>
      <c r="G865">
        <v>2.1</v>
      </c>
      <c r="H865" s="3">
        <v>2.1</v>
      </c>
      <c r="I865">
        <v>24</v>
      </c>
      <c r="J865">
        <v>5</v>
      </c>
      <c r="K865">
        <f>Table2[[#This Row],[STARTING INVENTORY]]</f>
        <v>24</v>
      </c>
      <c r="L865" s="13">
        <f>(Table2[[#This Row],[STARTING INVENTORY]]-Table2[[#This Row],[ENDING INVENTORY]])/(Table2[[#This Row],[STARTING INVENTORY]])</f>
        <v>0</v>
      </c>
      <c r="M865">
        <f>Table2[[#This Row],[STARTING INVENTORY]]-Table2[[#This Row],[ENDING INVENTORY]]</f>
        <v>0</v>
      </c>
    </row>
    <row r="866" spans="1:13">
      <c r="A866" t="s">
        <v>12</v>
      </c>
      <c r="B866" t="s">
        <v>162</v>
      </c>
      <c r="C866" t="s">
        <v>55</v>
      </c>
      <c r="D866" t="s">
        <v>29</v>
      </c>
      <c r="E866" s="3">
        <v>0.9</v>
      </c>
      <c r="F866" s="3">
        <v>0.92700000000000005</v>
      </c>
      <c r="G866">
        <v>2.06</v>
      </c>
      <c r="H866" s="3">
        <v>1.8540000000000001</v>
      </c>
      <c r="I866">
        <v>31</v>
      </c>
      <c r="J866">
        <v>3</v>
      </c>
      <c r="K866">
        <f>Table2[[#This Row],[STARTING INVENTORY]]</f>
        <v>31</v>
      </c>
      <c r="L866" s="13">
        <f>(Table2[[#This Row],[STARTING INVENTORY]]-Table2[[#This Row],[ENDING INVENTORY]])/(Table2[[#This Row],[STARTING INVENTORY]])</f>
        <v>0</v>
      </c>
      <c r="M866">
        <f>Table2[[#This Row],[STARTING INVENTORY]]-Table2[[#This Row],[ENDING INVENTORY]]</f>
        <v>0</v>
      </c>
    </row>
    <row r="867" spans="1:13">
      <c r="A867" t="s">
        <v>12</v>
      </c>
      <c r="B867" t="s">
        <v>162</v>
      </c>
      <c r="C867" t="s">
        <v>61</v>
      </c>
      <c r="D867" t="s">
        <v>29</v>
      </c>
      <c r="E867" s="3">
        <v>1.9</v>
      </c>
      <c r="F867" s="3">
        <v>1.9569999999999999</v>
      </c>
      <c r="G867">
        <v>2.06</v>
      </c>
      <c r="H867" s="3">
        <v>3.9139999999999997</v>
      </c>
      <c r="I867">
        <v>65</v>
      </c>
      <c r="J867">
        <v>0</v>
      </c>
      <c r="K867">
        <f>Table2[[#This Row],[STARTING INVENTORY]]</f>
        <v>65</v>
      </c>
      <c r="L867" s="13">
        <f>(Table2[[#This Row],[STARTING INVENTORY]]-Table2[[#This Row],[ENDING INVENTORY]])/(Table2[[#This Row],[STARTING INVENTORY]])</f>
        <v>0</v>
      </c>
      <c r="M867">
        <f>Table2[[#This Row],[STARTING INVENTORY]]-Table2[[#This Row],[ENDING INVENTORY]]</f>
        <v>0</v>
      </c>
    </row>
    <row r="868" spans="1:13">
      <c r="A868" t="s">
        <v>12</v>
      </c>
      <c r="B868" t="s">
        <v>162</v>
      </c>
      <c r="C868" t="s">
        <v>67</v>
      </c>
      <c r="D868" t="s">
        <v>29</v>
      </c>
      <c r="E868" s="3">
        <v>1.3</v>
      </c>
      <c r="F868" s="3">
        <v>1.3390000000000002</v>
      </c>
      <c r="G868">
        <v>1.98</v>
      </c>
      <c r="H868" s="3">
        <v>2.5739999999999998</v>
      </c>
      <c r="I868">
        <v>53</v>
      </c>
      <c r="J868">
        <v>2</v>
      </c>
      <c r="K868">
        <f>Table2[[#This Row],[STARTING INVENTORY]]</f>
        <v>53</v>
      </c>
      <c r="L868" s="13">
        <f>(Table2[[#This Row],[STARTING INVENTORY]]-Table2[[#This Row],[ENDING INVENTORY]])/(Table2[[#This Row],[STARTING INVENTORY]])</f>
        <v>0</v>
      </c>
      <c r="M868">
        <f>Table2[[#This Row],[STARTING INVENTORY]]-Table2[[#This Row],[ENDING INVENTORY]]</f>
        <v>0</v>
      </c>
    </row>
    <row r="869" spans="1:13">
      <c r="A869" t="s">
        <v>12</v>
      </c>
      <c r="B869" t="s">
        <v>162</v>
      </c>
      <c r="C869" t="s">
        <v>73</v>
      </c>
      <c r="D869" t="s">
        <v>29</v>
      </c>
      <c r="E869" s="3">
        <v>4</v>
      </c>
      <c r="F869" s="3">
        <v>4.12</v>
      </c>
      <c r="G869">
        <v>2.0099999999999998</v>
      </c>
      <c r="H869" s="3">
        <v>8.0399999999999991</v>
      </c>
      <c r="I869">
        <v>68</v>
      </c>
      <c r="J869">
        <v>2</v>
      </c>
      <c r="K869">
        <f>Table2[[#This Row],[STARTING INVENTORY]]</f>
        <v>68</v>
      </c>
      <c r="L869" s="13">
        <f>(Table2[[#This Row],[STARTING INVENTORY]]-Table2[[#This Row],[ENDING INVENTORY]])/(Table2[[#This Row],[STARTING INVENTORY]])</f>
        <v>0</v>
      </c>
      <c r="M869">
        <f>Table2[[#This Row],[STARTING INVENTORY]]-Table2[[#This Row],[ENDING INVENTORY]]</f>
        <v>0</v>
      </c>
    </row>
    <row r="870" spans="1:13">
      <c r="A870" t="s">
        <v>12</v>
      </c>
      <c r="B870" t="s">
        <v>162</v>
      </c>
      <c r="C870" t="s">
        <v>79</v>
      </c>
      <c r="D870" t="s">
        <v>29</v>
      </c>
      <c r="E870" s="3">
        <v>2.2000000000000002</v>
      </c>
      <c r="F870" s="3">
        <v>2.2660000000000005</v>
      </c>
      <c r="G870">
        <v>2.08</v>
      </c>
      <c r="H870" s="3">
        <v>4.5760000000000005</v>
      </c>
      <c r="I870">
        <v>97</v>
      </c>
      <c r="J870">
        <v>0</v>
      </c>
      <c r="K870">
        <f>Table2[[#This Row],[STARTING INVENTORY]]</f>
        <v>97</v>
      </c>
      <c r="L870" s="13">
        <f>(Table2[[#This Row],[STARTING INVENTORY]]-Table2[[#This Row],[ENDING INVENTORY]])/(Table2[[#This Row],[STARTING INVENTORY]])</f>
        <v>0</v>
      </c>
      <c r="M870">
        <f>Table2[[#This Row],[STARTING INVENTORY]]-Table2[[#This Row],[ENDING INVENTORY]]</f>
        <v>0</v>
      </c>
    </row>
    <row r="871" spans="1:13">
      <c r="A871" t="s">
        <v>12</v>
      </c>
      <c r="B871" t="s">
        <v>162</v>
      </c>
      <c r="C871" t="s">
        <v>85</v>
      </c>
      <c r="D871" t="s">
        <v>29</v>
      </c>
      <c r="E871" s="3">
        <v>2.75</v>
      </c>
      <c r="F871" s="3">
        <v>2.8325</v>
      </c>
      <c r="G871">
        <v>2.0300000000000002</v>
      </c>
      <c r="H871" s="3">
        <v>5.5825000000000005</v>
      </c>
      <c r="I871">
        <v>64</v>
      </c>
      <c r="J871">
        <v>0</v>
      </c>
      <c r="K871">
        <f>Table2[[#This Row],[STARTING INVENTORY]]</f>
        <v>64</v>
      </c>
      <c r="L871" s="13">
        <f>(Table2[[#This Row],[STARTING INVENTORY]]-Table2[[#This Row],[ENDING INVENTORY]])/(Table2[[#This Row],[STARTING INVENTORY]])</f>
        <v>0</v>
      </c>
      <c r="M871">
        <f>Table2[[#This Row],[STARTING INVENTORY]]-Table2[[#This Row],[ENDING INVENTORY]]</f>
        <v>0</v>
      </c>
    </row>
    <row r="872" spans="1:13">
      <c r="A872" t="s">
        <v>12</v>
      </c>
      <c r="B872" t="s">
        <v>162</v>
      </c>
      <c r="C872" t="s">
        <v>91</v>
      </c>
      <c r="D872" t="s">
        <v>29</v>
      </c>
      <c r="E872" s="3">
        <v>3.5</v>
      </c>
      <c r="F872" s="3">
        <v>3.605</v>
      </c>
      <c r="G872">
        <v>2.08</v>
      </c>
      <c r="H872" s="3">
        <v>7.28</v>
      </c>
      <c r="I872">
        <v>46</v>
      </c>
      <c r="J872">
        <v>4</v>
      </c>
      <c r="K872">
        <f>Table2[[#This Row],[STARTING INVENTORY]]</f>
        <v>46</v>
      </c>
      <c r="L872" s="13">
        <f>(Table2[[#This Row],[STARTING INVENTORY]]-Table2[[#This Row],[ENDING INVENTORY]])/(Table2[[#This Row],[STARTING INVENTORY]])</f>
        <v>0</v>
      </c>
      <c r="M872">
        <f>Table2[[#This Row],[STARTING INVENTORY]]-Table2[[#This Row],[ENDING INVENTORY]]</f>
        <v>0</v>
      </c>
    </row>
    <row r="873" spans="1:13">
      <c r="A873" t="s">
        <v>12</v>
      </c>
      <c r="B873" t="s">
        <v>162</v>
      </c>
      <c r="C873" t="s">
        <v>97</v>
      </c>
      <c r="D873" t="s">
        <v>29</v>
      </c>
      <c r="E873" s="3">
        <v>8</v>
      </c>
      <c r="F873" s="3">
        <v>8.24</v>
      </c>
      <c r="G873">
        <v>2.08</v>
      </c>
      <c r="H873" s="3">
        <v>16.64</v>
      </c>
      <c r="I873">
        <v>92</v>
      </c>
      <c r="J873">
        <v>0</v>
      </c>
      <c r="K873">
        <f>Table2[[#This Row],[STARTING INVENTORY]]</f>
        <v>92</v>
      </c>
      <c r="L873" s="13">
        <f>(Table2[[#This Row],[STARTING INVENTORY]]-Table2[[#This Row],[ENDING INVENTORY]])/(Table2[[#This Row],[STARTING INVENTORY]])</f>
        <v>0</v>
      </c>
      <c r="M873">
        <f>Table2[[#This Row],[STARTING INVENTORY]]-Table2[[#This Row],[ENDING INVENTORY]]</f>
        <v>0</v>
      </c>
    </row>
    <row r="874" spans="1:13">
      <c r="A874" t="s">
        <v>12</v>
      </c>
      <c r="B874" t="s">
        <v>162</v>
      </c>
      <c r="C874" t="s">
        <v>103</v>
      </c>
      <c r="D874" t="s">
        <v>29</v>
      </c>
      <c r="E874" s="3">
        <v>7</v>
      </c>
      <c r="F874" s="3">
        <v>7.21</v>
      </c>
      <c r="G874">
        <v>2.0499999999999998</v>
      </c>
      <c r="H874" s="3">
        <v>14.349999999999998</v>
      </c>
      <c r="I874">
        <v>45</v>
      </c>
      <c r="J874">
        <v>2</v>
      </c>
      <c r="K874">
        <f>Table2[[#This Row],[STARTING INVENTORY]]</f>
        <v>45</v>
      </c>
      <c r="L874" s="13">
        <f>(Table2[[#This Row],[STARTING INVENTORY]]-Table2[[#This Row],[ENDING INVENTORY]])/(Table2[[#This Row],[STARTING INVENTORY]])</f>
        <v>0</v>
      </c>
      <c r="M874">
        <f>Table2[[#This Row],[STARTING INVENTORY]]-Table2[[#This Row],[ENDING INVENTORY]]</f>
        <v>0</v>
      </c>
    </row>
    <row r="875" spans="1:13">
      <c r="A875" t="s">
        <v>12</v>
      </c>
      <c r="B875" t="s">
        <v>162</v>
      </c>
      <c r="C875" t="s">
        <v>109</v>
      </c>
      <c r="D875" t="s">
        <v>29</v>
      </c>
      <c r="E875" s="3">
        <v>1.8</v>
      </c>
      <c r="F875" s="3">
        <v>1.8540000000000001</v>
      </c>
      <c r="G875">
        <v>2.0300000000000002</v>
      </c>
      <c r="H875" s="3">
        <v>3.6540000000000004</v>
      </c>
      <c r="I875">
        <v>66</v>
      </c>
      <c r="J875">
        <v>7</v>
      </c>
      <c r="K875">
        <f>Table2[[#This Row],[STARTING INVENTORY]]</f>
        <v>66</v>
      </c>
      <c r="L875" s="13">
        <f>(Table2[[#This Row],[STARTING INVENTORY]]-Table2[[#This Row],[ENDING INVENTORY]])/(Table2[[#This Row],[STARTING INVENTORY]])</f>
        <v>0</v>
      </c>
      <c r="M875">
        <f>Table2[[#This Row],[STARTING INVENTORY]]-Table2[[#This Row],[ENDING INVENTORY]]</f>
        <v>0</v>
      </c>
    </row>
    <row r="876" spans="1:13">
      <c r="A876" t="s">
        <v>12</v>
      </c>
      <c r="B876" t="s">
        <v>162</v>
      </c>
      <c r="C876" t="s">
        <v>115</v>
      </c>
      <c r="D876" t="s">
        <v>29</v>
      </c>
      <c r="E876" s="3">
        <v>9</v>
      </c>
      <c r="F876" s="3">
        <v>9.27</v>
      </c>
      <c r="G876">
        <v>2.06</v>
      </c>
      <c r="H876" s="3">
        <v>18.54</v>
      </c>
      <c r="I876">
        <v>75</v>
      </c>
      <c r="J876">
        <v>6</v>
      </c>
      <c r="K876">
        <f>Table2[[#This Row],[STARTING INVENTORY]]</f>
        <v>75</v>
      </c>
      <c r="L876" s="13">
        <f>(Table2[[#This Row],[STARTING INVENTORY]]-Table2[[#This Row],[ENDING INVENTORY]])/(Table2[[#This Row],[STARTING INVENTORY]])</f>
        <v>0</v>
      </c>
      <c r="M876">
        <f>Table2[[#This Row],[STARTING INVENTORY]]-Table2[[#This Row],[ENDING INVENTORY]]</f>
        <v>0</v>
      </c>
    </row>
    <row r="877" spans="1:13">
      <c r="A877" t="s">
        <v>12</v>
      </c>
      <c r="B877" t="s">
        <v>162</v>
      </c>
      <c r="C877" t="s">
        <v>121</v>
      </c>
      <c r="D877" t="s">
        <v>29</v>
      </c>
      <c r="E877" s="3">
        <v>0.95</v>
      </c>
      <c r="F877" s="3">
        <v>0.97849999999999993</v>
      </c>
      <c r="G877">
        <v>2.04</v>
      </c>
      <c r="H877" s="3">
        <v>1.9379999999999999</v>
      </c>
      <c r="I877">
        <v>82</v>
      </c>
      <c r="J877">
        <v>1</v>
      </c>
      <c r="K877">
        <f>Table2[[#This Row],[STARTING INVENTORY]]</f>
        <v>82</v>
      </c>
      <c r="L877" s="13">
        <f>(Table2[[#This Row],[STARTING INVENTORY]]-Table2[[#This Row],[ENDING INVENTORY]])/(Table2[[#This Row],[STARTING INVENTORY]])</f>
        <v>0</v>
      </c>
      <c r="M877">
        <f>Table2[[#This Row],[STARTING INVENTORY]]-Table2[[#This Row],[ENDING INVENTORY]]</f>
        <v>0</v>
      </c>
    </row>
    <row r="878" spans="1:13">
      <c r="A878" t="s">
        <v>12</v>
      </c>
      <c r="B878" t="s">
        <v>162</v>
      </c>
      <c r="C878" t="s">
        <v>127</v>
      </c>
      <c r="D878" t="s">
        <v>29</v>
      </c>
      <c r="E878" s="3">
        <v>1.85</v>
      </c>
      <c r="F878" s="3">
        <v>1.9055000000000002</v>
      </c>
      <c r="G878">
        <v>2.06</v>
      </c>
      <c r="H878" s="3">
        <v>3.8110000000000004</v>
      </c>
      <c r="I878">
        <v>67</v>
      </c>
      <c r="J878">
        <v>6</v>
      </c>
      <c r="K878">
        <f>Table2[[#This Row],[STARTING INVENTORY]]</f>
        <v>67</v>
      </c>
      <c r="L878" s="13">
        <f>(Table2[[#This Row],[STARTING INVENTORY]]-Table2[[#This Row],[ENDING INVENTORY]])/(Table2[[#This Row],[STARTING INVENTORY]])</f>
        <v>0</v>
      </c>
      <c r="M878">
        <f>Table2[[#This Row],[STARTING INVENTORY]]-Table2[[#This Row],[ENDING INVENTORY]]</f>
        <v>0</v>
      </c>
    </row>
    <row r="879" spans="1:13">
      <c r="A879" t="s">
        <v>12</v>
      </c>
      <c r="B879" t="s">
        <v>162</v>
      </c>
      <c r="C879" t="s">
        <v>133</v>
      </c>
      <c r="D879" t="s">
        <v>29</v>
      </c>
      <c r="E879" s="3">
        <v>5.5</v>
      </c>
      <c r="F879" s="3">
        <v>5.665</v>
      </c>
      <c r="G879">
        <v>1.95</v>
      </c>
      <c r="H879" s="3">
        <v>10.725</v>
      </c>
      <c r="I879">
        <v>80</v>
      </c>
      <c r="J879">
        <v>0</v>
      </c>
      <c r="K879">
        <f>Table2[[#This Row],[STARTING INVENTORY]]</f>
        <v>80</v>
      </c>
      <c r="L879" s="13">
        <f>(Table2[[#This Row],[STARTING INVENTORY]]-Table2[[#This Row],[ENDING INVENTORY]])/(Table2[[#This Row],[STARTING INVENTORY]])</f>
        <v>0</v>
      </c>
      <c r="M879">
        <f>Table2[[#This Row],[STARTING INVENTORY]]-Table2[[#This Row],[ENDING INVENTORY]]</f>
        <v>0</v>
      </c>
    </row>
    <row r="880" spans="1:13">
      <c r="A880" t="s">
        <v>12</v>
      </c>
      <c r="B880" t="s">
        <v>162</v>
      </c>
      <c r="C880" t="s">
        <v>139</v>
      </c>
      <c r="D880" t="s">
        <v>29</v>
      </c>
      <c r="E880" s="3">
        <v>1.9</v>
      </c>
      <c r="F880" s="3">
        <v>1.9569999999999999</v>
      </c>
      <c r="G880">
        <v>1.98</v>
      </c>
      <c r="H880" s="3">
        <v>3.762</v>
      </c>
      <c r="I880">
        <v>45</v>
      </c>
      <c r="J880">
        <v>0</v>
      </c>
      <c r="K880">
        <f>Table2[[#This Row],[STARTING INVENTORY]]</f>
        <v>45</v>
      </c>
      <c r="L880" s="13">
        <f>(Table2[[#This Row],[STARTING INVENTORY]]-Table2[[#This Row],[ENDING INVENTORY]])/(Table2[[#This Row],[STARTING INVENTORY]])</f>
        <v>0</v>
      </c>
      <c r="M880">
        <f>Table2[[#This Row],[STARTING INVENTORY]]-Table2[[#This Row],[ENDING INVENTORY]]</f>
        <v>0</v>
      </c>
    </row>
    <row r="881" spans="1:13">
      <c r="A881" t="s">
        <v>12</v>
      </c>
      <c r="B881" t="s">
        <v>162</v>
      </c>
      <c r="C881" t="s">
        <v>145</v>
      </c>
      <c r="D881" t="s">
        <v>29</v>
      </c>
      <c r="E881" s="3">
        <v>2.75</v>
      </c>
      <c r="F881" s="3">
        <v>2.8325</v>
      </c>
      <c r="G881">
        <v>2.04</v>
      </c>
      <c r="H881" s="3">
        <v>5.61</v>
      </c>
      <c r="I881">
        <v>55</v>
      </c>
      <c r="J881">
        <v>3</v>
      </c>
      <c r="K881">
        <f>Table2[[#This Row],[STARTING INVENTORY]]</f>
        <v>55</v>
      </c>
      <c r="L881" s="13">
        <f>(Table2[[#This Row],[STARTING INVENTORY]]-Table2[[#This Row],[ENDING INVENTORY]])/(Table2[[#This Row],[STARTING INVENTORY]])</f>
        <v>0</v>
      </c>
      <c r="M881">
        <f>Table2[[#This Row],[STARTING INVENTORY]]-Table2[[#This Row],[ENDING INVENTORY]]</f>
        <v>0</v>
      </c>
    </row>
    <row r="882" spans="1:13">
      <c r="A882" t="s">
        <v>12</v>
      </c>
      <c r="B882" t="s">
        <v>163</v>
      </c>
      <c r="C882" t="s">
        <v>32</v>
      </c>
      <c r="D882" t="s">
        <v>33</v>
      </c>
      <c r="E882" s="3">
        <v>3.25</v>
      </c>
      <c r="F882" s="3">
        <v>3.3475000000000001</v>
      </c>
      <c r="G882">
        <v>1.96</v>
      </c>
      <c r="H882" s="3">
        <v>6.37</v>
      </c>
      <c r="I882">
        <v>50</v>
      </c>
      <c r="J882">
        <v>1</v>
      </c>
      <c r="K882">
        <f>Table2[[#This Row],[STARTING INVENTORY]]</f>
        <v>50</v>
      </c>
      <c r="L882" s="13">
        <f>(Table2[[#This Row],[STARTING INVENTORY]]-Table2[[#This Row],[ENDING INVENTORY]])/(Table2[[#This Row],[STARTING INVENTORY]])</f>
        <v>0</v>
      </c>
      <c r="M882">
        <f>Table2[[#This Row],[STARTING INVENTORY]]-Table2[[#This Row],[ENDING INVENTORY]]</f>
        <v>0</v>
      </c>
    </row>
    <row r="883" spans="1:13">
      <c r="A883" t="s">
        <v>12</v>
      </c>
      <c r="B883" t="s">
        <v>163</v>
      </c>
      <c r="C883" t="s">
        <v>39</v>
      </c>
      <c r="D883" t="s">
        <v>33</v>
      </c>
      <c r="E883" s="3">
        <v>0.9</v>
      </c>
      <c r="F883" s="3">
        <v>0.92700000000000005</v>
      </c>
      <c r="G883">
        <v>1.98</v>
      </c>
      <c r="H883" s="3">
        <v>1.782</v>
      </c>
      <c r="I883">
        <v>57</v>
      </c>
      <c r="J883">
        <v>1</v>
      </c>
      <c r="K883">
        <f>Table2[[#This Row],[STARTING INVENTORY]]</f>
        <v>57</v>
      </c>
      <c r="L883" s="13">
        <f>(Table2[[#This Row],[STARTING INVENTORY]]-Table2[[#This Row],[ENDING INVENTORY]])/(Table2[[#This Row],[STARTING INVENTORY]])</f>
        <v>0</v>
      </c>
      <c r="M883">
        <f>Table2[[#This Row],[STARTING INVENTORY]]-Table2[[#This Row],[ENDING INVENTORY]]</f>
        <v>0</v>
      </c>
    </row>
    <row r="884" spans="1:13">
      <c r="A884" t="s">
        <v>12</v>
      </c>
      <c r="B884" t="s">
        <v>163</v>
      </c>
      <c r="C884" t="s">
        <v>45</v>
      </c>
      <c r="D884" t="s">
        <v>33</v>
      </c>
      <c r="E884" s="3">
        <v>1.6</v>
      </c>
      <c r="F884" s="3">
        <v>1.6480000000000001</v>
      </c>
      <c r="G884">
        <v>1.99</v>
      </c>
      <c r="H884" s="3">
        <v>3.1840000000000002</v>
      </c>
      <c r="I884">
        <v>148</v>
      </c>
      <c r="J884">
        <v>2</v>
      </c>
      <c r="K884">
        <f>Table2[[#This Row],[STARTING INVENTORY]]</f>
        <v>148</v>
      </c>
      <c r="L884" s="13">
        <f>(Table2[[#This Row],[STARTING INVENTORY]]-Table2[[#This Row],[ENDING INVENTORY]])/(Table2[[#This Row],[STARTING INVENTORY]])</f>
        <v>0</v>
      </c>
      <c r="M884">
        <f>Table2[[#This Row],[STARTING INVENTORY]]-Table2[[#This Row],[ENDING INVENTORY]]</f>
        <v>0</v>
      </c>
    </row>
    <row r="885" spans="1:13">
      <c r="A885" t="s">
        <v>12</v>
      </c>
      <c r="B885" t="s">
        <v>163</v>
      </c>
      <c r="C885" t="s">
        <v>51</v>
      </c>
      <c r="D885" t="s">
        <v>33</v>
      </c>
      <c r="E885" s="3">
        <v>1.1000000000000001</v>
      </c>
      <c r="F885" s="3">
        <v>1.1330000000000002</v>
      </c>
      <c r="G885">
        <v>2</v>
      </c>
      <c r="H885" s="3">
        <v>2.2000000000000002</v>
      </c>
      <c r="I885">
        <v>101</v>
      </c>
      <c r="J885">
        <v>0</v>
      </c>
      <c r="K885">
        <f>Table2[[#This Row],[STARTING INVENTORY]]</f>
        <v>101</v>
      </c>
      <c r="L885" s="13">
        <f>(Table2[[#This Row],[STARTING INVENTORY]]-Table2[[#This Row],[ENDING INVENTORY]])/(Table2[[#This Row],[STARTING INVENTORY]])</f>
        <v>0</v>
      </c>
      <c r="M885">
        <f>Table2[[#This Row],[STARTING INVENTORY]]-Table2[[#This Row],[ENDING INVENTORY]]</f>
        <v>0</v>
      </c>
    </row>
    <row r="886" spans="1:13">
      <c r="A886" t="s">
        <v>12</v>
      </c>
      <c r="B886" t="s">
        <v>163</v>
      </c>
      <c r="C886" t="s">
        <v>57</v>
      </c>
      <c r="D886" t="s">
        <v>33</v>
      </c>
      <c r="E886" s="3">
        <v>0.95</v>
      </c>
      <c r="F886" s="3">
        <v>0.97849999999999993</v>
      </c>
      <c r="G886">
        <v>2</v>
      </c>
      <c r="H886" s="3">
        <v>1.9</v>
      </c>
      <c r="I886">
        <v>128</v>
      </c>
      <c r="J886">
        <v>0</v>
      </c>
      <c r="K886">
        <f>Table2[[#This Row],[STARTING INVENTORY]]</f>
        <v>128</v>
      </c>
      <c r="L886" s="13">
        <f>(Table2[[#This Row],[STARTING INVENTORY]]-Table2[[#This Row],[ENDING INVENTORY]])/(Table2[[#This Row],[STARTING INVENTORY]])</f>
        <v>0</v>
      </c>
      <c r="M886">
        <f>Table2[[#This Row],[STARTING INVENTORY]]-Table2[[#This Row],[ENDING INVENTORY]]</f>
        <v>0</v>
      </c>
    </row>
    <row r="887" spans="1:13">
      <c r="A887" t="s">
        <v>12</v>
      </c>
      <c r="B887" t="s">
        <v>163</v>
      </c>
      <c r="C887" t="s">
        <v>63</v>
      </c>
      <c r="D887" t="s">
        <v>33</v>
      </c>
      <c r="E887" s="3">
        <v>2.75</v>
      </c>
      <c r="F887" s="3">
        <v>2.8325</v>
      </c>
      <c r="G887">
        <v>1.98</v>
      </c>
      <c r="H887" s="3">
        <v>5.4450000000000003</v>
      </c>
      <c r="I887">
        <v>96</v>
      </c>
      <c r="J887">
        <v>2</v>
      </c>
      <c r="K887">
        <f>Table2[[#This Row],[STARTING INVENTORY]]</f>
        <v>96</v>
      </c>
      <c r="L887" s="13">
        <f>(Table2[[#This Row],[STARTING INVENTORY]]-Table2[[#This Row],[ENDING INVENTORY]])/(Table2[[#This Row],[STARTING INVENTORY]])</f>
        <v>0</v>
      </c>
      <c r="M887">
        <f>Table2[[#This Row],[STARTING INVENTORY]]-Table2[[#This Row],[ENDING INVENTORY]]</f>
        <v>0</v>
      </c>
    </row>
    <row r="888" spans="1:13">
      <c r="A888" t="s">
        <v>12</v>
      </c>
      <c r="B888" t="s">
        <v>163</v>
      </c>
      <c r="C888" t="s">
        <v>69</v>
      </c>
      <c r="D888" t="s">
        <v>33</v>
      </c>
      <c r="E888" s="3">
        <v>1.9</v>
      </c>
      <c r="F888" s="3">
        <v>1.9569999999999999</v>
      </c>
      <c r="G888">
        <v>2.0700000000000003</v>
      </c>
      <c r="H888" s="3">
        <v>3.9330000000000003</v>
      </c>
      <c r="I888">
        <v>105</v>
      </c>
      <c r="J888">
        <v>4</v>
      </c>
      <c r="K888">
        <f>Table2[[#This Row],[STARTING INVENTORY]]</f>
        <v>105</v>
      </c>
      <c r="L888" s="13">
        <f>(Table2[[#This Row],[STARTING INVENTORY]]-Table2[[#This Row],[ENDING INVENTORY]])/(Table2[[#This Row],[STARTING INVENTORY]])</f>
        <v>0</v>
      </c>
      <c r="M888">
        <f>Table2[[#This Row],[STARTING INVENTORY]]-Table2[[#This Row],[ENDING INVENTORY]]</f>
        <v>0</v>
      </c>
    </row>
    <row r="889" spans="1:13">
      <c r="A889" t="s">
        <v>12</v>
      </c>
      <c r="B889" t="s">
        <v>163</v>
      </c>
      <c r="C889" t="s">
        <v>75</v>
      </c>
      <c r="D889" t="s">
        <v>33</v>
      </c>
      <c r="E889" s="3">
        <v>4</v>
      </c>
      <c r="F889" s="3">
        <v>4.12</v>
      </c>
      <c r="G889">
        <v>2.0700000000000003</v>
      </c>
      <c r="H889" s="3">
        <v>8.2800000000000011</v>
      </c>
      <c r="I889">
        <v>135</v>
      </c>
      <c r="J889">
        <v>3</v>
      </c>
      <c r="K889">
        <f>Table2[[#This Row],[STARTING INVENTORY]]</f>
        <v>135</v>
      </c>
      <c r="L889" s="13">
        <f>(Table2[[#This Row],[STARTING INVENTORY]]-Table2[[#This Row],[ENDING INVENTORY]])/(Table2[[#This Row],[STARTING INVENTORY]])</f>
        <v>0</v>
      </c>
      <c r="M889">
        <f>Table2[[#This Row],[STARTING INVENTORY]]-Table2[[#This Row],[ENDING INVENTORY]]</f>
        <v>0</v>
      </c>
    </row>
    <row r="890" spans="1:13">
      <c r="A890" t="s">
        <v>12</v>
      </c>
      <c r="B890" t="s">
        <v>163</v>
      </c>
      <c r="C890" t="s">
        <v>81</v>
      </c>
      <c r="D890" t="s">
        <v>33</v>
      </c>
      <c r="E890" s="3">
        <v>0.8</v>
      </c>
      <c r="F890" s="3">
        <v>0.82400000000000007</v>
      </c>
      <c r="G890">
        <v>2.0099999999999998</v>
      </c>
      <c r="H890" s="3">
        <v>1.6079999999999999</v>
      </c>
      <c r="I890">
        <v>63</v>
      </c>
      <c r="J890">
        <v>1</v>
      </c>
      <c r="K890">
        <f>Table2[[#This Row],[STARTING INVENTORY]]</f>
        <v>63</v>
      </c>
      <c r="L890" s="13">
        <f>(Table2[[#This Row],[STARTING INVENTORY]]-Table2[[#This Row],[ENDING INVENTORY]])/(Table2[[#This Row],[STARTING INVENTORY]])</f>
        <v>0</v>
      </c>
      <c r="M890">
        <f>Table2[[#This Row],[STARTING INVENTORY]]-Table2[[#This Row],[ENDING INVENTORY]]</f>
        <v>0</v>
      </c>
    </row>
    <row r="891" spans="1:13">
      <c r="A891" t="s">
        <v>12</v>
      </c>
      <c r="B891" t="s">
        <v>163</v>
      </c>
      <c r="C891" t="s">
        <v>87</v>
      </c>
      <c r="D891" t="s">
        <v>33</v>
      </c>
      <c r="E891" s="3">
        <v>4.25</v>
      </c>
      <c r="F891" s="3">
        <v>4.3775000000000004</v>
      </c>
      <c r="G891">
        <v>1.99</v>
      </c>
      <c r="H891" s="3">
        <v>8.4574999999999996</v>
      </c>
      <c r="I891">
        <v>139</v>
      </c>
      <c r="J891">
        <v>1</v>
      </c>
      <c r="K891">
        <f>Table2[[#This Row],[STARTING INVENTORY]]</f>
        <v>139</v>
      </c>
      <c r="L891" s="13">
        <f>(Table2[[#This Row],[STARTING INVENTORY]]-Table2[[#This Row],[ENDING INVENTORY]])/(Table2[[#This Row],[STARTING INVENTORY]])</f>
        <v>0</v>
      </c>
      <c r="M891">
        <f>Table2[[#This Row],[STARTING INVENTORY]]-Table2[[#This Row],[ENDING INVENTORY]]</f>
        <v>0</v>
      </c>
    </row>
    <row r="892" spans="1:13">
      <c r="A892" t="s">
        <v>12</v>
      </c>
      <c r="B892" t="s">
        <v>163</v>
      </c>
      <c r="C892" t="s">
        <v>93</v>
      </c>
      <c r="D892" t="s">
        <v>33</v>
      </c>
      <c r="E892" s="3">
        <v>1.6</v>
      </c>
      <c r="F892" s="3">
        <v>1.6480000000000001</v>
      </c>
      <c r="G892">
        <v>2.09</v>
      </c>
      <c r="H892" s="3">
        <v>3.3439999999999999</v>
      </c>
      <c r="I892">
        <v>77</v>
      </c>
      <c r="J892">
        <v>0</v>
      </c>
      <c r="K892">
        <f>Table2[[#This Row],[STARTING INVENTORY]]</f>
        <v>77</v>
      </c>
      <c r="L892" s="13">
        <f>(Table2[[#This Row],[STARTING INVENTORY]]-Table2[[#This Row],[ENDING INVENTORY]])/(Table2[[#This Row],[STARTING INVENTORY]])</f>
        <v>0</v>
      </c>
      <c r="M892">
        <f>Table2[[#This Row],[STARTING INVENTORY]]-Table2[[#This Row],[ENDING INVENTORY]]</f>
        <v>0</v>
      </c>
    </row>
    <row r="893" spans="1:13">
      <c r="A893" t="s">
        <v>12</v>
      </c>
      <c r="B893" t="s">
        <v>163</v>
      </c>
      <c r="C893" t="s">
        <v>99</v>
      </c>
      <c r="D893" t="s">
        <v>33</v>
      </c>
      <c r="E893" s="3">
        <v>1.65</v>
      </c>
      <c r="F893" s="3">
        <v>1.6995</v>
      </c>
      <c r="G893">
        <v>1.99</v>
      </c>
      <c r="H893" s="3">
        <v>3.2834999999999996</v>
      </c>
      <c r="I893">
        <v>136</v>
      </c>
      <c r="J893">
        <v>0</v>
      </c>
      <c r="K893">
        <f>Table2[[#This Row],[STARTING INVENTORY]]</f>
        <v>136</v>
      </c>
      <c r="L893" s="13">
        <f>(Table2[[#This Row],[STARTING INVENTORY]]-Table2[[#This Row],[ENDING INVENTORY]])/(Table2[[#This Row],[STARTING INVENTORY]])</f>
        <v>0</v>
      </c>
      <c r="M893">
        <f>Table2[[#This Row],[STARTING INVENTORY]]-Table2[[#This Row],[ENDING INVENTORY]]</f>
        <v>0</v>
      </c>
    </row>
    <row r="894" spans="1:13">
      <c r="A894" t="s">
        <v>12</v>
      </c>
      <c r="B894" t="s">
        <v>163</v>
      </c>
      <c r="C894" t="s">
        <v>105</v>
      </c>
      <c r="D894" t="s">
        <v>33</v>
      </c>
      <c r="E894" s="3">
        <v>2.2000000000000002</v>
      </c>
      <c r="F894" s="3">
        <v>2.2660000000000005</v>
      </c>
      <c r="G894">
        <v>1.95</v>
      </c>
      <c r="H894" s="3">
        <v>4.29</v>
      </c>
      <c r="I894">
        <v>127</v>
      </c>
      <c r="J894">
        <v>5</v>
      </c>
      <c r="K894">
        <f>Table2[[#This Row],[STARTING INVENTORY]]</f>
        <v>127</v>
      </c>
      <c r="L894" s="13">
        <f>(Table2[[#This Row],[STARTING INVENTORY]]-Table2[[#This Row],[ENDING INVENTORY]])/(Table2[[#This Row],[STARTING INVENTORY]])</f>
        <v>0</v>
      </c>
      <c r="M894">
        <f>Table2[[#This Row],[STARTING INVENTORY]]-Table2[[#This Row],[ENDING INVENTORY]]</f>
        <v>0</v>
      </c>
    </row>
    <row r="895" spans="1:13">
      <c r="A895" t="s">
        <v>12</v>
      </c>
      <c r="B895" t="s">
        <v>163</v>
      </c>
      <c r="C895" t="s">
        <v>111</v>
      </c>
      <c r="D895" t="s">
        <v>33</v>
      </c>
      <c r="E895" s="3">
        <v>4</v>
      </c>
      <c r="F895" s="3">
        <v>4.12</v>
      </c>
      <c r="G895">
        <v>2.1</v>
      </c>
      <c r="H895" s="3">
        <v>8.4</v>
      </c>
      <c r="I895">
        <v>137</v>
      </c>
      <c r="J895">
        <v>1</v>
      </c>
      <c r="K895">
        <f>Table2[[#This Row],[STARTING INVENTORY]]</f>
        <v>137</v>
      </c>
      <c r="L895" s="13">
        <f>(Table2[[#This Row],[STARTING INVENTORY]]-Table2[[#This Row],[ENDING INVENTORY]])/(Table2[[#This Row],[STARTING INVENTORY]])</f>
        <v>0</v>
      </c>
      <c r="M895">
        <f>Table2[[#This Row],[STARTING INVENTORY]]-Table2[[#This Row],[ENDING INVENTORY]]</f>
        <v>0</v>
      </c>
    </row>
    <row r="896" spans="1:13">
      <c r="A896" t="s">
        <v>12</v>
      </c>
      <c r="B896" t="s">
        <v>163</v>
      </c>
      <c r="C896" t="s">
        <v>117</v>
      </c>
      <c r="D896" t="s">
        <v>33</v>
      </c>
      <c r="E896" s="3">
        <v>5.25</v>
      </c>
      <c r="F896" s="3">
        <v>5.4074999999999998</v>
      </c>
      <c r="G896">
        <v>2</v>
      </c>
      <c r="H896" s="3">
        <v>10.5</v>
      </c>
      <c r="I896">
        <v>51</v>
      </c>
      <c r="J896">
        <v>0</v>
      </c>
      <c r="K896">
        <f>Table2[[#This Row],[STARTING INVENTORY]]</f>
        <v>51</v>
      </c>
      <c r="L896" s="13">
        <f>(Table2[[#This Row],[STARTING INVENTORY]]-Table2[[#This Row],[ENDING INVENTORY]])/(Table2[[#This Row],[STARTING INVENTORY]])</f>
        <v>0</v>
      </c>
      <c r="M896">
        <f>Table2[[#This Row],[STARTING INVENTORY]]-Table2[[#This Row],[ENDING INVENTORY]]</f>
        <v>0</v>
      </c>
    </row>
    <row r="897" spans="1:13">
      <c r="A897" t="s">
        <v>12</v>
      </c>
      <c r="B897" t="s">
        <v>163</v>
      </c>
      <c r="C897" t="s">
        <v>123</v>
      </c>
      <c r="D897" t="s">
        <v>33</v>
      </c>
      <c r="E897" s="3">
        <v>2</v>
      </c>
      <c r="F897" s="3">
        <v>2.06</v>
      </c>
      <c r="G897">
        <v>2.04</v>
      </c>
      <c r="H897" s="3">
        <v>4.08</v>
      </c>
      <c r="I897">
        <v>158</v>
      </c>
      <c r="J897">
        <v>3</v>
      </c>
      <c r="K897">
        <f>Table2[[#This Row],[STARTING INVENTORY]]</f>
        <v>158</v>
      </c>
      <c r="L897" s="13">
        <f>(Table2[[#This Row],[STARTING INVENTORY]]-Table2[[#This Row],[ENDING INVENTORY]])/(Table2[[#This Row],[STARTING INVENTORY]])</f>
        <v>0</v>
      </c>
      <c r="M897">
        <f>Table2[[#This Row],[STARTING INVENTORY]]-Table2[[#This Row],[ENDING INVENTORY]]</f>
        <v>0</v>
      </c>
    </row>
    <row r="898" spans="1:13">
      <c r="A898" t="s">
        <v>12</v>
      </c>
      <c r="B898" t="s">
        <v>163</v>
      </c>
      <c r="C898" t="s">
        <v>129</v>
      </c>
      <c r="D898" t="s">
        <v>33</v>
      </c>
      <c r="E898" s="3">
        <v>2.8</v>
      </c>
      <c r="F898" s="3">
        <v>2.8839999999999999</v>
      </c>
      <c r="G898">
        <v>2.0300000000000002</v>
      </c>
      <c r="H898" s="3">
        <v>5.6840000000000002</v>
      </c>
      <c r="I898">
        <v>75</v>
      </c>
      <c r="J898">
        <v>3</v>
      </c>
      <c r="K898">
        <f>Table2[[#This Row],[STARTING INVENTORY]]</f>
        <v>75</v>
      </c>
      <c r="L898" s="13">
        <f>(Table2[[#This Row],[STARTING INVENTORY]]-Table2[[#This Row],[ENDING INVENTORY]])/(Table2[[#This Row],[STARTING INVENTORY]])</f>
        <v>0</v>
      </c>
      <c r="M898">
        <f>Table2[[#This Row],[STARTING INVENTORY]]-Table2[[#This Row],[ENDING INVENTORY]]</f>
        <v>0</v>
      </c>
    </row>
    <row r="899" spans="1:13">
      <c r="A899" t="s">
        <v>12</v>
      </c>
      <c r="B899" t="s">
        <v>163</v>
      </c>
      <c r="C899" t="s">
        <v>135</v>
      </c>
      <c r="D899" t="s">
        <v>33</v>
      </c>
      <c r="E899" s="3">
        <v>1.35</v>
      </c>
      <c r="F899" s="3">
        <v>1.3905000000000001</v>
      </c>
      <c r="G899">
        <v>2.0300000000000002</v>
      </c>
      <c r="H899" s="3">
        <v>2.7405000000000004</v>
      </c>
      <c r="I899">
        <v>63</v>
      </c>
      <c r="J899">
        <v>3</v>
      </c>
      <c r="K899">
        <f>Table2[[#This Row],[STARTING INVENTORY]]</f>
        <v>63</v>
      </c>
      <c r="L899" s="13">
        <f>(Table2[[#This Row],[STARTING INVENTORY]]-Table2[[#This Row],[ENDING INVENTORY]])/(Table2[[#This Row],[STARTING INVENTORY]])</f>
        <v>0</v>
      </c>
      <c r="M899">
        <f>Table2[[#This Row],[STARTING INVENTORY]]-Table2[[#This Row],[ENDING INVENTORY]]</f>
        <v>0</v>
      </c>
    </row>
    <row r="900" spans="1:13">
      <c r="A900" t="s">
        <v>12</v>
      </c>
      <c r="B900" t="s">
        <v>163</v>
      </c>
      <c r="C900" t="s">
        <v>141</v>
      </c>
      <c r="D900" t="s">
        <v>33</v>
      </c>
      <c r="E900" s="3">
        <v>2.25</v>
      </c>
      <c r="F900" s="3">
        <v>2.3174999999999999</v>
      </c>
      <c r="G900">
        <v>2.09</v>
      </c>
      <c r="H900" s="3">
        <v>4.7024999999999997</v>
      </c>
      <c r="I900">
        <v>108</v>
      </c>
      <c r="J900">
        <v>0</v>
      </c>
      <c r="K900">
        <f>Table2[[#This Row],[STARTING INVENTORY]]</f>
        <v>108</v>
      </c>
      <c r="L900" s="13">
        <f>(Table2[[#This Row],[STARTING INVENTORY]]-Table2[[#This Row],[ENDING INVENTORY]])/(Table2[[#This Row],[STARTING INVENTORY]])</f>
        <v>0</v>
      </c>
      <c r="M900">
        <f>Table2[[#This Row],[STARTING INVENTORY]]-Table2[[#This Row],[ENDING INVENTORY]]</f>
        <v>0</v>
      </c>
    </row>
    <row r="901" spans="1:13">
      <c r="A901" t="s">
        <v>12</v>
      </c>
      <c r="B901" t="s">
        <v>163</v>
      </c>
      <c r="C901" t="s">
        <v>147</v>
      </c>
      <c r="D901" t="s">
        <v>33</v>
      </c>
      <c r="E901" s="3">
        <v>2.8</v>
      </c>
      <c r="F901" s="3">
        <v>2.8839999999999999</v>
      </c>
      <c r="G901">
        <v>2.09</v>
      </c>
      <c r="H901" s="3">
        <v>5.8519999999999994</v>
      </c>
      <c r="I901">
        <v>105</v>
      </c>
      <c r="J901">
        <v>0</v>
      </c>
      <c r="K901">
        <f>Table2[[#This Row],[STARTING INVENTORY]]</f>
        <v>105</v>
      </c>
      <c r="L901" s="13">
        <f>(Table2[[#This Row],[STARTING INVENTORY]]-Table2[[#This Row],[ENDING INVENTORY]])/(Table2[[#This Row],[STARTING INVENTORY]])</f>
        <v>0</v>
      </c>
      <c r="M901">
        <f>Table2[[#This Row],[STARTING INVENTORY]]-Table2[[#This Row],[ENDING INVENTORY]]</f>
        <v>0</v>
      </c>
    </row>
    <row r="902" spans="1:13">
      <c r="A902" t="s">
        <v>12</v>
      </c>
      <c r="B902" t="s">
        <v>164</v>
      </c>
      <c r="C902" t="s">
        <v>31</v>
      </c>
      <c r="D902" t="s">
        <v>29</v>
      </c>
      <c r="E902" s="3">
        <v>5.25</v>
      </c>
      <c r="F902" s="3">
        <v>5.4074999999999998</v>
      </c>
      <c r="G902">
        <v>2.08</v>
      </c>
      <c r="H902" s="3">
        <v>10.92</v>
      </c>
      <c r="I902">
        <v>36</v>
      </c>
      <c r="J902">
        <v>0</v>
      </c>
      <c r="K902">
        <f>Table2[[#This Row],[STARTING INVENTORY]]</f>
        <v>36</v>
      </c>
      <c r="L902" s="13">
        <f>(Table2[[#This Row],[STARTING INVENTORY]]-Table2[[#This Row],[ENDING INVENTORY]])/(Table2[[#This Row],[STARTING INVENTORY]])</f>
        <v>0</v>
      </c>
      <c r="M902">
        <f>Table2[[#This Row],[STARTING INVENTORY]]-Table2[[#This Row],[ENDING INVENTORY]]</f>
        <v>0</v>
      </c>
    </row>
    <row r="903" spans="1:13">
      <c r="A903" t="s">
        <v>12</v>
      </c>
      <c r="B903" t="s">
        <v>164</v>
      </c>
      <c r="C903" t="s">
        <v>38</v>
      </c>
      <c r="D903" t="s">
        <v>29</v>
      </c>
      <c r="E903" s="3">
        <v>4.75</v>
      </c>
      <c r="F903" s="3">
        <v>4.8925000000000001</v>
      </c>
      <c r="G903">
        <v>2</v>
      </c>
      <c r="H903" s="3">
        <v>9.5</v>
      </c>
      <c r="I903">
        <v>32</v>
      </c>
      <c r="J903">
        <v>0</v>
      </c>
      <c r="K903">
        <f>Table2[[#This Row],[STARTING INVENTORY]]</f>
        <v>32</v>
      </c>
      <c r="L903" s="13">
        <f>(Table2[[#This Row],[STARTING INVENTORY]]-Table2[[#This Row],[ENDING INVENTORY]])/(Table2[[#This Row],[STARTING INVENTORY]])</f>
        <v>0</v>
      </c>
      <c r="M903">
        <f>Table2[[#This Row],[STARTING INVENTORY]]-Table2[[#This Row],[ENDING INVENTORY]]</f>
        <v>0</v>
      </c>
    </row>
    <row r="904" spans="1:13">
      <c r="A904" t="s">
        <v>12</v>
      </c>
      <c r="B904" t="s">
        <v>164</v>
      </c>
      <c r="C904" t="s">
        <v>44</v>
      </c>
      <c r="D904" t="s">
        <v>29</v>
      </c>
      <c r="E904" s="3">
        <v>6.5</v>
      </c>
      <c r="F904" s="3">
        <v>6.6950000000000003</v>
      </c>
      <c r="G904">
        <v>1.96</v>
      </c>
      <c r="H904" s="3">
        <v>12.74</v>
      </c>
      <c r="I904">
        <v>52</v>
      </c>
      <c r="J904">
        <v>3</v>
      </c>
      <c r="K904">
        <f>Table2[[#This Row],[STARTING INVENTORY]]</f>
        <v>52</v>
      </c>
      <c r="L904" s="13">
        <f>(Table2[[#This Row],[STARTING INVENTORY]]-Table2[[#This Row],[ENDING INVENTORY]])/(Table2[[#This Row],[STARTING INVENTORY]])</f>
        <v>0</v>
      </c>
      <c r="M904">
        <f>Table2[[#This Row],[STARTING INVENTORY]]-Table2[[#This Row],[ENDING INVENTORY]]</f>
        <v>0</v>
      </c>
    </row>
    <row r="905" spans="1:13">
      <c r="A905" t="s">
        <v>12</v>
      </c>
      <c r="B905" t="s">
        <v>164</v>
      </c>
      <c r="C905" t="s">
        <v>50</v>
      </c>
      <c r="D905" t="s">
        <v>29</v>
      </c>
      <c r="E905" s="3">
        <v>5.75</v>
      </c>
      <c r="F905" s="3">
        <v>5.9225000000000003</v>
      </c>
      <c r="G905">
        <v>1.99</v>
      </c>
      <c r="H905" s="3">
        <v>11.442500000000001</v>
      </c>
      <c r="I905">
        <v>47</v>
      </c>
      <c r="J905">
        <v>5</v>
      </c>
      <c r="K905">
        <f>Table2[[#This Row],[STARTING INVENTORY]]</f>
        <v>47</v>
      </c>
      <c r="L905" s="13">
        <f>(Table2[[#This Row],[STARTING INVENTORY]]-Table2[[#This Row],[ENDING INVENTORY]])/(Table2[[#This Row],[STARTING INVENTORY]])</f>
        <v>0</v>
      </c>
      <c r="M905">
        <f>Table2[[#This Row],[STARTING INVENTORY]]-Table2[[#This Row],[ENDING INVENTORY]]</f>
        <v>0</v>
      </c>
    </row>
    <row r="906" spans="1:13">
      <c r="A906" t="s">
        <v>12</v>
      </c>
      <c r="B906" t="s">
        <v>164</v>
      </c>
      <c r="C906" t="s">
        <v>56</v>
      </c>
      <c r="D906" t="s">
        <v>29</v>
      </c>
      <c r="E906" s="3">
        <v>5.5</v>
      </c>
      <c r="F906" s="3">
        <v>5.665</v>
      </c>
      <c r="G906">
        <v>2.0499999999999998</v>
      </c>
      <c r="H906" s="3">
        <v>11.274999999999999</v>
      </c>
      <c r="I906">
        <v>67</v>
      </c>
      <c r="J906">
        <v>4</v>
      </c>
      <c r="K906">
        <f>Table2[[#This Row],[STARTING INVENTORY]]</f>
        <v>67</v>
      </c>
      <c r="L906" s="13">
        <f>(Table2[[#This Row],[STARTING INVENTORY]]-Table2[[#This Row],[ENDING INVENTORY]])/(Table2[[#This Row],[STARTING INVENTORY]])</f>
        <v>0</v>
      </c>
      <c r="M906">
        <f>Table2[[#This Row],[STARTING INVENTORY]]-Table2[[#This Row],[ENDING INVENTORY]]</f>
        <v>0</v>
      </c>
    </row>
    <row r="907" spans="1:13">
      <c r="A907" t="s">
        <v>12</v>
      </c>
      <c r="B907" t="s">
        <v>164</v>
      </c>
      <c r="C907" t="s">
        <v>62</v>
      </c>
      <c r="D907" t="s">
        <v>29</v>
      </c>
      <c r="E907" s="3">
        <v>4.25</v>
      </c>
      <c r="F907" s="3">
        <v>4.3775000000000004</v>
      </c>
      <c r="G907">
        <v>1.96</v>
      </c>
      <c r="H907" s="3">
        <v>8.33</v>
      </c>
      <c r="I907">
        <v>44</v>
      </c>
      <c r="J907">
        <v>5</v>
      </c>
      <c r="K907">
        <f>Table2[[#This Row],[STARTING INVENTORY]]</f>
        <v>44</v>
      </c>
      <c r="L907" s="13">
        <f>(Table2[[#This Row],[STARTING INVENTORY]]-Table2[[#This Row],[ENDING INVENTORY]])/(Table2[[#This Row],[STARTING INVENTORY]])</f>
        <v>0</v>
      </c>
      <c r="M907">
        <f>Table2[[#This Row],[STARTING INVENTORY]]-Table2[[#This Row],[ENDING INVENTORY]]</f>
        <v>0</v>
      </c>
    </row>
    <row r="908" spans="1:13">
      <c r="A908" t="s">
        <v>12</v>
      </c>
      <c r="B908" t="s">
        <v>164</v>
      </c>
      <c r="C908" t="s">
        <v>68</v>
      </c>
      <c r="D908" t="s">
        <v>29</v>
      </c>
      <c r="E908" s="3">
        <v>5.0999999999999996</v>
      </c>
      <c r="F908" s="3">
        <v>5.2530000000000001</v>
      </c>
      <c r="G908">
        <v>2.0300000000000002</v>
      </c>
      <c r="H908" s="3">
        <v>10.353</v>
      </c>
      <c r="I908">
        <v>93</v>
      </c>
      <c r="J908">
        <v>1</v>
      </c>
      <c r="K908">
        <f>Table2[[#This Row],[STARTING INVENTORY]]</f>
        <v>93</v>
      </c>
      <c r="L908" s="13">
        <f>(Table2[[#This Row],[STARTING INVENTORY]]-Table2[[#This Row],[ENDING INVENTORY]])/(Table2[[#This Row],[STARTING INVENTORY]])</f>
        <v>0</v>
      </c>
      <c r="M908">
        <f>Table2[[#This Row],[STARTING INVENTORY]]-Table2[[#This Row],[ENDING INVENTORY]]</f>
        <v>0</v>
      </c>
    </row>
    <row r="909" spans="1:13">
      <c r="A909" t="s">
        <v>12</v>
      </c>
      <c r="B909" t="s">
        <v>164</v>
      </c>
      <c r="C909" t="s">
        <v>74</v>
      </c>
      <c r="D909" t="s">
        <v>29</v>
      </c>
      <c r="E909" s="3">
        <v>2.8</v>
      </c>
      <c r="F909" s="3">
        <v>2.8839999999999999</v>
      </c>
      <c r="G909">
        <v>2.1</v>
      </c>
      <c r="H909" s="3">
        <v>5.88</v>
      </c>
      <c r="I909">
        <v>118</v>
      </c>
      <c r="J909">
        <v>3</v>
      </c>
      <c r="K909">
        <f>Table2[[#This Row],[STARTING INVENTORY]]</f>
        <v>118</v>
      </c>
      <c r="L909" s="13">
        <f>(Table2[[#This Row],[STARTING INVENTORY]]-Table2[[#This Row],[ENDING INVENTORY]])/(Table2[[#This Row],[STARTING INVENTORY]])</f>
        <v>0</v>
      </c>
      <c r="M909">
        <f>Table2[[#This Row],[STARTING INVENTORY]]-Table2[[#This Row],[ENDING INVENTORY]]</f>
        <v>0</v>
      </c>
    </row>
    <row r="910" spans="1:13">
      <c r="A910" t="s">
        <v>12</v>
      </c>
      <c r="B910" t="s">
        <v>164</v>
      </c>
      <c r="C910" t="s">
        <v>80</v>
      </c>
      <c r="D910" t="s">
        <v>29</v>
      </c>
      <c r="E910" s="3">
        <v>4</v>
      </c>
      <c r="F910" s="3">
        <v>4.12</v>
      </c>
      <c r="G910">
        <v>2</v>
      </c>
      <c r="H910" s="3">
        <v>8</v>
      </c>
      <c r="I910">
        <v>57</v>
      </c>
      <c r="J910">
        <v>1</v>
      </c>
      <c r="K910">
        <f>Table2[[#This Row],[STARTING INVENTORY]]</f>
        <v>57</v>
      </c>
      <c r="L910" s="13">
        <f>(Table2[[#This Row],[STARTING INVENTORY]]-Table2[[#This Row],[ENDING INVENTORY]])/(Table2[[#This Row],[STARTING INVENTORY]])</f>
        <v>0</v>
      </c>
      <c r="M910">
        <f>Table2[[#This Row],[STARTING INVENTORY]]-Table2[[#This Row],[ENDING INVENTORY]]</f>
        <v>0</v>
      </c>
    </row>
    <row r="911" spans="1:13">
      <c r="A911" t="s">
        <v>12</v>
      </c>
      <c r="B911" t="s">
        <v>164</v>
      </c>
      <c r="C911" t="s">
        <v>86</v>
      </c>
      <c r="D911" t="s">
        <v>29</v>
      </c>
      <c r="E911" s="3">
        <v>9</v>
      </c>
      <c r="F911" s="3">
        <v>9.27</v>
      </c>
      <c r="G911">
        <v>2.1</v>
      </c>
      <c r="H911" s="3">
        <v>18.900000000000002</v>
      </c>
      <c r="I911">
        <v>103</v>
      </c>
      <c r="J911">
        <v>2</v>
      </c>
      <c r="K911">
        <f>Table2[[#This Row],[STARTING INVENTORY]]</f>
        <v>103</v>
      </c>
      <c r="L911" s="13">
        <f>(Table2[[#This Row],[STARTING INVENTORY]]-Table2[[#This Row],[ENDING INVENTORY]])/(Table2[[#This Row],[STARTING INVENTORY]])</f>
        <v>0</v>
      </c>
      <c r="M911">
        <f>Table2[[#This Row],[STARTING INVENTORY]]-Table2[[#This Row],[ENDING INVENTORY]]</f>
        <v>0</v>
      </c>
    </row>
    <row r="912" spans="1:13">
      <c r="A912" t="s">
        <v>12</v>
      </c>
      <c r="B912" t="s">
        <v>164</v>
      </c>
      <c r="C912" t="s">
        <v>92</v>
      </c>
      <c r="D912" t="s">
        <v>29</v>
      </c>
      <c r="E912" s="3">
        <v>2.75</v>
      </c>
      <c r="F912" s="3">
        <v>2.8325</v>
      </c>
      <c r="G912">
        <v>1.95</v>
      </c>
      <c r="H912" s="3">
        <v>5.3624999999999998</v>
      </c>
      <c r="I912">
        <v>68</v>
      </c>
      <c r="J912">
        <v>2</v>
      </c>
      <c r="K912">
        <f>Table2[[#This Row],[STARTING INVENTORY]]</f>
        <v>68</v>
      </c>
      <c r="L912" s="13">
        <f>(Table2[[#This Row],[STARTING INVENTORY]]-Table2[[#This Row],[ENDING INVENTORY]])/(Table2[[#This Row],[STARTING INVENTORY]])</f>
        <v>0</v>
      </c>
      <c r="M912">
        <f>Table2[[#This Row],[STARTING INVENTORY]]-Table2[[#This Row],[ENDING INVENTORY]]</f>
        <v>0</v>
      </c>
    </row>
    <row r="913" spans="1:13">
      <c r="A913" t="s">
        <v>12</v>
      </c>
      <c r="B913" t="s">
        <v>164</v>
      </c>
      <c r="C913" t="s">
        <v>98</v>
      </c>
      <c r="D913" t="s">
        <v>29</v>
      </c>
      <c r="E913" s="3">
        <v>3.9</v>
      </c>
      <c r="F913" s="3">
        <v>4.0170000000000003</v>
      </c>
      <c r="G913">
        <v>1.95</v>
      </c>
      <c r="H913" s="3">
        <v>7.6049999999999995</v>
      </c>
      <c r="I913">
        <v>86</v>
      </c>
      <c r="J913">
        <v>0</v>
      </c>
      <c r="K913">
        <f>Table2[[#This Row],[STARTING INVENTORY]]</f>
        <v>86</v>
      </c>
      <c r="L913" s="13">
        <f>(Table2[[#This Row],[STARTING INVENTORY]]-Table2[[#This Row],[ENDING INVENTORY]])/(Table2[[#This Row],[STARTING INVENTORY]])</f>
        <v>0</v>
      </c>
      <c r="M913">
        <f>Table2[[#This Row],[STARTING INVENTORY]]-Table2[[#This Row],[ENDING INVENTORY]]</f>
        <v>0</v>
      </c>
    </row>
    <row r="914" spans="1:13">
      <c r="A914" t="s">
        <v>12</v>
      </c>
      <c r="B914" t="s">
        <v>164</v>
      </c>
      <c r="C914" t="s">
        <v>104</v>
      </c>
      <c r="D914" t="s">
        <v>29</v>
      </c>
      <c r="E914" s="3">
        <v>4.3</v>
      </c>
      <c r="F914" s="3">
        <v>4.4290000000000003</v>
      </c>
      <c r="G914">
        <v>2.09</v>
      </c>
      <c r="H914" s="3">
        <v>8.9869999999999983</v>
      </c>
      <c r="I914">
        <v>46</v>
      </c>
      <c r="J914">
        <v>1</v>
      </c>
      <c r="K914">
        <f>Table2[[#This Row],[STARTING INVENTORY]]</f>
        <v>46</v>
      </c>
      <c r="L914" s="13">
        <f>(Table2[[#This Row],[STARTING INVENTORY]]-Table2[[#This Row],[ENDING INVENTORY]])/(Table2[[#This Row],[STARTING INVENTORY]])</f>
        <v>0</v>
      </c>
      <c r="M914">
        <f>Table2[[#This Row],[STARTING INVENTORY]]-Table2[[#This Row],[ENDING INVENTORY]]</f>
        <v>0</v>
      </c>
    </row>
    <row r="915" spans="1:13">
      <c r="A915" t="s">
        <v>12</v>
      </c>
      <c r="B915" t="s">
        <v>164</v>
      </c>
      <c r="C915" t="s">
        <v>110</v>
      </c>
      <c r="D915" t="s">
        <v>29</v>
      </c>
      <c r="E915" s="3">
        <v>4</v>
      </c>
      <c r="F915" s="3">
        <v>4.12</v>
      </c>
      <c r="G915">
        <v>1.98</v>
      </c>
      <c r="H915" s="3">
        <v>7.92</v>
      </c>
      <c r="I915">
        <v>115</v>
      </c>
      <c r="J915">
        <v>8</v>
      </c>
      <c r="K915">
        <f>Table2[[#This Row],[STARTING INVENTORY]]</f>
        <v>115</v>
      </c>
      <c r="L915" s="13">
        <f>(Table2[[#This Row],[STARTING INVENTORY]]-Table2[[#This Row],[ENDING INVENTORY]])/(Table2[[#This Row],[STARTING INVENTORY]])</f>
        <v>0</v>
      </c>
      <c r="M915">
        <f>Table2[[#This Row],[STARTING INVENTORY]]-Table2[[#This Row],[ENDING INVENTORY]]</f>
        <v>0</v>
      </c>
    </row>
    <row r="916" spans="1:13">
      <c r="A916" t="s">
        <v>12</v>
      </c>
      <c r="B916" t="s">
        <v>164</v>
      </c>
      <c r="C916" t="s">
        <v>116</v>
      </c>
      <c r="D916" t="s">
        <v>29</v>
      </c>
      <c r="E916" s="3">
        <v>4.75</v>
      </c>
      <c r="F916" s="3">
        <v>4.8925000000000001</v>
      </c>
      <c r="G916">
        <v>2.0099999999999998</v>
      </c>
      <c r="H916" s="3">
        <v>9.5474999999999994</v>
      </c>
      <c r="I916">
        <v>119</v>
      </c>
      <c r="J916">
        <v>0</v>
      </c>
      <c r="K916">
        <f>Table2[[#This Row],[STARTING INVENTORY]]</f>
        <v>119</v>
      </c>
      <c r="L916" s="13">
        <f>(Table2[[#This Row],[STARTING INVENTORY]]-Table2[[#This Row],[ENDING INVENTORY]])/(Table2[[#This Row],[STARTING INVENTORY]])</f>
        <v>0</v>
      </c>
      <c r="M916">
        <f>Table2[[#This Row],[STARTING INVENTORY]]-Table2[[#This Row],[ENDING INVENTORY]]</f>
        <v>0</v>
      </c>
    </row>
    <row r="917" spans="1:13">
      <c r="A917" t="s">
        <v>12</v>
      </c>
      <c r="B917" t="s">
        <v>164</v>
      </c>
      <c r="C917" t="s">
        <v>122</v>
      </c>
      <c r="D917" t="s">
        <v>29</v>
      </c>
      <c r="E917" s="3">
        <v>2.25</v>
      </c>
      <c r="F917" s="3">
        <v>2.3174999999999999</v>
      </c>
      <c r="G917">
        <v>2</v>
      </c>
      <c r="H917" s="3">
        <v>4.5</v>
      </c>
      <c r="I917">
        <v>73</v>
      </c>
      <c r="J917">
        <v>0</v>
      </c>
      <c r="K917">
        <f>Table2[[#This Row],[STARTING INVENTORY]]</f>
        <v>73</v>
      </c>
      <c r="L917" s="13">
        <f>(Table2[[#This Row],[STARTING INVENTORY]]-Table2[[#This Row],[ENDING INVENTORY]])/(Table2[[#This Row],[STARTING INVENTORY]])</f>
        <v>0</v>
      </c>
      <c r="M917">
        <f>Table2[[#This Row],[STARTING INVENTORY]]-Table2[[#This Row],[ENDING INVENTORY]]</f>
        <v>0</v>
      </c>
    </row>
    <row r="918" spans="1:13">
      <c r="A918" t="s">
        <v>12</v>
      </c>
      <c r="B918" t="s">
        <v>164</v>
      </c>
      <c r="C918" t="s">
        <v>128</v>
      </c>
      <c r="D918" t="s">
        <v>29</v>
      </c>
      <c r="E918" s="3">
        <v>2.1</v>
      </c>
      <c r="F918" s="3">
        <v>2.1630000000000003</v>
      </c>
      <c r="G918">
        <v>1.96</v>
      </c>
      <c r="H918" s="3">
        <v>4.1159999999999997</v>
      </c>
      <c r="I918">
        <v>54</v>
      </c>
      <c r="J918">
        <v>1</v>
      </c>
      <c r="K918">
        <f>Table2[[#This Row],[STARTING INVENTORY]]</f>
        <v>54</v>
      </c>
      <c r="L918" s="13">
        <f>(Table2[[#This Row],[STARTING INVENTORY]]-Table2[[#This Row],[ENDING INVENTORY]])/(Table2[[#This Row],[STARTING INVENTORY]])</f>
        <v>0</v>
      </c>
      <c r="M918">
        <f>Table2[[#This Row],[STARTING INVENTORY]]-Table2[[#This Row],[ENDING INVENTORY]]</f>
        <v>0</v>
      </c>
    </row>
    <row r="919" spans="1:13">
      <c r="A919" t="s">
        <v>12</v>
      </c>
      <c r="B919" t="s">
        <v>164</v>
      </c>
      <c r="C919" t="s">
        <v>134</v>
      </c>
      <c r="D919" t="s">
        <v>29</v>
      </c>
      <c r="E919" s="3">
        <v>2</v>
      </c>
      <c r="F919" s="3">
        <v>2.06</v>
      </c>
      <c r="G919">
        <v>2.02</v>
      </c>
      <c r="H919" s="3">
        <v>4.04</v>
      </c>
      <c r="I919">
        <v>46</v>
      </c>
      <c r="J919">
        <v>5</v>
      </c>
      <c r="K919">
        <f>Table2[[#This Row],[STARTING INVENTORY]]</f>
        <v>46</v>
      </c>
      <c r="L919" s="13">
        <f>(Table2[[#This Row],[STARTING INVENTORY]]-Table2[[#This Row],[ENDING INVENTORY]])/(Table2[[#This Row],[STARTING INVENTORY]])</f>
        <v>0</v>
      </c>
      <c r="M919">
        <f>Table2[[#This Row],[STARTING INVENTORY]]-Table2[[#This Row],[ENDING INVENTORY]]</f>
        <v>0</v>
      </c>
    </row>
    <row r="920" spans="1:13">
      <c r="A920" t="s">
        <v>12</v>
      </c>
      <c r="B920" t="s">
        <v>164</v>
      </c>
      <c r="C920" t="s">
        <v>140</v>
      </c>
      <c r="D920" t="s">
        <v>33</v>
      </c>
      <c r="E920" s="3">
        <v>4.5</v>
      </c>
      <c r="F920" s="3">
        <v>4.6349999999999998</v>
      </c>
      <c r="G920">
        <v>2.1</v>
      </c>
      <c r="H920" s="3">
        <v>9.4500000000000011</v>
      </c>
      <c r="I920">
        <v>42</v>
      </c>
      <c r="J920">
        <v>2</v>
      </c>
      <c r="K920">
        <f>Table2[[#This Row],[STARTING INVENTORY]]</f>
        <v>42</v>
      </c>
      <c r="L920" s="13">
        <f>(Table2[[#This Row],[STARTING INVENTORY]]-Table2[[#This Row],[ENDING INVENTORY]])/(Table2[[#This Row],[STARTING INVENTORY]])</f>
        <v>0</v>
      </c>
      <c r="M920">
        <f>Table2[[#This Row],[STARTING INVENTORY]]-Table2[[#This Row],[ENDING INVENTORY]]</f>
        <v>0</v>
      </c>
    </row>
    <row r="921" spans="1:13">
      <c r="A921" t="s">
        <v>12</v>
      </c>
      <c r="B921" t="s">
        <v>164</v>
      </c>
      <c r="C921" t="s">
        <v>146</v>
      </c>
      <c r="D921" t="s">
        <v>33</v>
      </c>
      <c r="E921" s="3">
        <v>3.75</v>
      </c>
      <c r="F921" s="3">
        <v>3.8625000000000003</v>
      </c>
      <c r="G921">
        <v>2.02</v>
      </c>
      <c r="H921" s="3">
        <v>7.5750000000000002</v>
      </c>
      <c r="I921">
        <v>113</v>
      </c>
      <c r="J921">
        <v>3</v>
      </c>
      <c r="K921">
        <f>Table2[[#This Row],[STARTING INVENTORY]]</f>
        <v>113</v>
      </c>
      <c r="L921" s="13">
        <f>(Table2[[#This Row],[STARTING INVENTORY]]-Table2[[#This Row],[ENDING INVENTORY]])/(Table2[[#This Row],[STARTING INVENTORY]])</f>
        <v>0</v>
      </c>
      <c r="M921">
        <f>Table2[[#This Row],[STARTING INVENTORY]]-Table2[[#This Row],[ENDING INVENTORY]]</f>
        <v>0</v>
      </c>
    </row>
    <row r="922" spans="1:13">
      <c r="A922" t="s">
        <v>12</v>
      </c>
      <c r="B922" t="s">
        <v>165</v>
      </c>
      <c r="C922" t="s">
        <v>35</v>
      </c>
      <c r="D922" t="s">
        <v>33</v>
      </c>
      <c r="E922" s="3">
        <v>2</v>
      </c>
      <c r="F922" s="3">
        <v>2.06</v>
      </c>
      <c r="G922">
        <v>2.1</v>
      </c>
      <c r="H922" s="3">
        <v>4.2</v>
      </c>
      <c r="I922">
        <v>84</v>
      </c>
      <c r="J922">
        <v>0</v>
      </c>
      <c r="K922">
        <v>24</v>
      </c>
      <c r="L922" s="13">
        <f>(Table2[[#This Row],[STARTING INVENTORY]]-Table2[[#This Row],[ENDING INVENTORY]])/(Table2[[#This Row],[STARTING INVENTORY]])</f>
        <v>0.7142857142857143</v>
      </c>
      <c r="M922">
        <f>Table2[[#This Row],[STARTING INVENTORY]]-Table2[[#This Row],[ENDING INVENTORY]]</f>
        <v>60</v>
      </c>
    </row>
    <row r="923" spans="1:13">
      <c r="A923" t="s">
        <v>12</v>
      </c>
      <c r="B923" t="s">
        <v>165</v>
      </c>
      <c r="C923" t="s">
        <v>41</v>
      </c>
      <c r="D923" t="s">
        <v>33</v>
      </c>
      <c r="E923" s="3">
        <v>1.95</v>
      </c>
      <c r="F923" s="3">
        <v>2.0085000000000002</v>
      </c>
      <c r="G923">
        <v>2.0700000000000003</v>
      </c>
      <c r="H923" s="3">
        <v>4.0365000000000002</v>
      </c>
      <c r="I923">
        <v>127</v>
      </c>
      <c r="J923">
        <v>3</v>
      </c>
      <c r="K923">
        <v>99</v>
      </c>
      <c r="L923" s="13">
        <f>(Table2[[#This Row],[STARTING INVENTORY]]-Table2[[#This Row],[ENDING INVENTORY]])/(Table2[[#This Row],[STARTING INVENTORY]])</f>
        <v>0.22047244094488189</v>
      </c>
      <c r="M923">
        <f>Table2[[#This Row],[STARTING INVENTORY]]-Table2[[#This Row],[ENDING INVENTORY]]</f>
        <v>28</v>
      </c>
    </row>
    <row r="924" spans="1:13">
      <c r="A924" t="s">
        <v>12</v>
      </c>
      <c r="B924" t="s">
        <v>165</v>
      </c>
      <c r="C924" t="s">
        <v>47</v>
      </c>
      <c r="D924" t="s">
        <v>33</v>
      </c>
      <c r="E924" s="3">
        <v>1.9</v>
      </c>
      <c r="F924" s="3">
        <v>1.9569999999999999</v>
      </c>
      <c r="G924">
        <v>2.0300000000000002</v>
      </c>
      <c r="H924" s="3">
        <v>3.8570000000000002</v>
      </c>
      <c r="I924">
        <v>69</v>
      </c>
      <c r="J924">
        <v>1</v>
      </c>
      <c r="K924">
        <v>59</v>
      </c>
      <c r="L924" s="13">
        <f>(Table2[[#This Row],[STARTING INVENTORY]]-Table2[[#This Row],[ENDING INVENTORY]])/(Table2[[#This Row],[STARTING INVENTORY]])</f>
        <v>0.14492753623188406</v>
      </c>
      <c r="M924">
        <f>Table2[[#This Row],[STARTING INVENTORY]]-Table2[[#This Row],[ENDING INVENTORY]]</f>
        <v>10</v>
      </c>
    </row>
    <row r="925" spans="1:13">
      <c r="A925" t="s">
        <v>12</v>
      </c>
      <c r="B925" t="s">
        <v>165</v>
      </c>
      <c r="C925" t="s">
        <v>53</v>
      </c>
      <c r="D925" t="s">
        <v>33</v>
      </c>
      <c r="E925" s="3">
        <v>3.1</v>
      </c>
      <c r="F925" s="3">
        <v>3.1930000000000001</v>
      </c>
      <c r="G925">
        <v>1.95</v>
      </c>
      <c r="H925" s="3">
        <v>6.0449999999999999</v>
      </c>
      <c r="I925">
        <v>126</v>
      </c>
      <c r="J925">
        <v>5</v>
      </c>
      <c r="K925">
        <v>89</v>
      </c>
      <c r="L925" s="13">
        <f>(Table2[[#This Row],[STARTING INVENTORY]]-Table2[[#This Row],[ENDING INVENTORY]])/(Table2[[#This Row],[STARTING INVENTORY]])</f>
        <v>0.29365079365079366</v>
      </c>
      <c r="M925">
        <f>Table2[[#This Row],[STARTING INVENTORY]]-Table2[[#This Row],[ENDING INVENTORY]]</f>
        <v>37</v>
      </c>
    </row>
    <row r="926" spans="1:13">
      <c r="A926" t="s">
        <v>12</v>
      </c>
      <c r="B926" t="s">
        <v>165</v>
      </c>
      <c r="C926" t="s">
        <v>59</v>
      </c>
      <c r="D926" t="s">
        <v>33</v>
      </c>
      <c r="E926" s="3">
        <v>2</v>
      </c>
      <c r="F926" s="3">
        <v>2.06</v>
      </c>
      <c r="G926">
        <v>2.02</v>
      </c>
      <c r="H926" s="3">
        <v>4.04</v>
      </c>
      <c r="I926">
        <v>164</v>
      </c>
      <c r="J926">
        <v>3</v>
      </c>
      <c r="K926">
        <v>64</v>
      </c>
      <c r="L926" s="13">
        <f>(Table2[[#This Row],[STARTING INVENTORY]]-Table2[[#This Row],[ENDING INVENTORY]])/(Table2[[#This Row],[STARTING INVENTORY]])</f>
        <v>0.6097560975609756</v>
      </c>
      <c r="M926">
        <f>Table2[[#This Row],[STARTING INVENTORY]]-Table2[[#This Row],[ENDING INVENTORY]]</f>
        <v>100</v>
      </c>
    </row>
    <row r="927" spans="1:13">
      <c r="A927" t="s">
        <v>12</v>
      </c>
      <c r="B927" t="s">
        <v>165</v>
      </c>
      <c r="C927" t="s">
        <v>65</v>
      </c>
      <c r="D927" t="s">
        <v>33</v>
      </c>
      <c r="E927" s="3">
        <v>1.7</v>
      </c>
      <c r="F927" s="3">
        <v>1.7509999999999999</v>
      </c>
      <c r="G927">
        <v>2.04</v>
      </c>
      <c r="H927" s="3">
        <v>3.468</v>
      </c>
      <c r="I927">
        <v>168</v>
      </c>
      <c r="J927">
        <v>0</v>
      </c>
      <c r="K927">
        <v>83</v>
      </c>
      <c r="L927" s="13">
        <f>(Table2[[#This Row],[STARTING INVENTORY]]-Table2[[#This Row],[ENDING INVENTORY]])/(Table2[[#This Row],[STARTING INVENTORY]])</f>
        <v>0.50595238095238093</v>
      </c>
      <c r="M927">
        <f>Table2[[#This Row],[STARTING INVENTORY]]-Table2[[#This Row],[ENDING INVENTORY]]</f>
        <v>85</v>
      </c>
    </row>
    <row r="928" spans="1:13">
      <c r="A928" t="s">
        <v>12</v>
      </c>
      <c r="B928" t="s">
        <v>165</v>
      </c>
      <c r="C928" t="s">
        <v>71</v>
      </c>
      <c r="D928" t="s">
        <v>33</v>
      </c>
      <c r="E928" s="3">
        <v>1.5</v>
      </c>
      <c r="F928" s="3">
        <v>1.5449999999999999</v>
      </c>
      <c r="G928">
        <v>2.09</v>
      </c>
      <c r="H928" s="3">
        <v>3.1349999999999998</v>
      </c>
      <c r="I928">
        <v>77</v>
      </c>
      <c r="J928">
        <v>0</v>
      </c>
      <c r="K928">
        <v>27</v>
      </c>
      <c r="L928" s="13">
        <f>(Table2[[#This Row],[STARTING INVENTORY]]-Table2[[#This Row],[ENDING INVENTORY]])/(Table2[[#This Row],[STARTING INVENTORY]])</f>
        <v>0.64935064935064934</v>
      </c>
      <c r="M928">
        <f>Table2[[#This Row],[STARTING INVENTORY]]-Table2[[#This Row],[ENDING INVENTORY]]</f>
        <v>50</v>
      </c>
    </row>
    <row r="929" spans="1:13">
      <c r="A929" t="s">
        <v>12</v>
      </c>
      <c r="B929" t="s">
        <v>165</v>
      </c>
      <c r="C929" t="s">
        <v>77</v>
      </c>
      <c r="D929" t="s">
        <v>33</v>
      </c>
      <c r="E929" s="3">
        <v>2.65</v>
      </c>
      <c r="F929" s="3">
        <v>2.7294999999999998</v>
      </c>
      <c r="G929">
        <v>2</v>
      </c>
      <c r="H929" s="3">
        <v>5.3</v>
      </c>
      <c r="I929">
        <v>170</v>
      </c>
      <c r="J929">
        <v>0</v>
      </c>
      <c r="K929">
        <v>15</v>
      </c>
      <c r="L929" s="13">
        <f>(Table2[[#This Row],[STARTING INVENTORY]]-Table2[[#This Row],[ENDING INVENTORY]])/(Table2[[#This Row],[STARTING INVENTORY]])</f>
        <v>0.91176470588235292</v>
      </c>
      <c r="M929">
        <f>Table2[[#This Row],[STARTING INVENTORY]]-Table2[[#This Row],[ENDING INVENTORY]]</f>
        <v>155</v>
      </c>
    </row>
    <row r="930" spans="1:13">
      <c r="A930" t="s">
        <v>12</v>
      </c>
      <c r="B930" t="s">
        <v>165</v>
      </c>
      <c r="C930" t="s">
        <v>83</v>
      </c>
      <c r="D930" t="s">
        <v>33</v>
      </c>
      <c r="E930" s="3">
        <v>1.2</v>
      </c>
      <c r="F930" s="3">
        <v>1.236</v>
      </c>
      <c r="G930">
        <v>2.06</v>
      </c>
      <c r="H930" s="3">
        <v>2.472</v>
      </c>
      <c r="I930">
        <v>159</v>
      </c>
      <c r="J930">
        <v>1</v>
      </c>
      <c r="K930">
        <v>103</v>
      </c>
      <c r="L930" s="13">
        <f>(Table2[[#This Row],[STARTING INVENTORY]]-Table2[[#This Row],[ENDING INVENTORY]])/(Table2[[#This Row],[STARTING INVENTORY]])</f>
        <v>0.3522012578616352</v>
      </c>
      <c r="M930">
        <f>Table2[[#This Row],[STARTING INVENTORY]]-Table2[[#This Row],[ENDING INVENTORY]]</f>
        <v>56</v>
      </c>
    </row>
    <row r="931" spans="1:13">
      <c r="A931" t="s">
        <v>12</v>
      </c>
      <c r="B931" t="s">
        <v>165</v>
      </c>
      <c r="C931" t="s">
        <v>89</v>
      </c>
      <c r="D931" t="s">
        <v>33</v>
      </c>
      <c r="E931" s="3">
        <v>1.4</v>
      </c>
      <c r="F931" s="3">
        <v>1.4419999999999999</v>
      </c>
      <c r="G931">
        <v>2.04</v>
      </c>
      <c r="H931" s="3">
        <v>2.8559999999999999</v>
      </c>
      <c r="I931">
        <v>170</v>
      </c>
      <c r="J931">
        <v>1</v>
      </c>
      <c r="K931">
        <v>91</v>
      </c>
      <c r="L931" s="13">
        <f>(Table2[[#This Row],[STARTING INVENTORY]]-Table2[[#This Row],[ENDING INVENTORY]])/(Table2[[#This Row],[STARTING INVENTORY]])</f>
        <v>0.46470588235294119</v>
      </c>
      <c r="M931">
        <f>Table2[[#This Row],[STARTING INVENTORY]]-Table2[[#This Row],[ENDING INVENTORY]]</f>
        <v>79</v>
      </c>
    </row>
    <row r="932" spans="1:13">
      <c r="A932" t="s">
        <v>12</v>
      </c>
      <c r="B932" t="s">
        <v>165</v>
      </c>
      <c r="C932" t="s">
        <v>95</v>
      </c>
      <c r="D932" t="s">
        <v>33</v>
      </c>
      <c r="E932" s="3">
        <v>1.6</v>
      </c>
      <c r="F932" s="3">
        <v>1.6480000000000001</v>
      </c>
      <c r="G932">
        <v>1.97</v>
      </c>
      <c r="H932" s="3">
        <v>3.1520000000000001</v>
      </c>
      <c r="I932">
        <v>145</v>
      </c>
      <c r="J932">
        <v>3</v>
      </c>
      <c r="K932">
        <v>26</v>
      </c>
      <c r="L932" s="13">
        <f>(Table2[[#This Row],[STARTING INVENTORY]]-Table2[[#This Row],[ENDING INVENTORY]])/(Table2[[#This Row],[STARTING INVENTORY]])</f>
        <v>0.82068965517241377</v>
      </c>
      <c r="M932">
        <f>Table2[[#This Row],[STARTING INVENTORY]]-Table2[[#This Row],[ENDING INVENTORY]]</f>
        <v>119</v>
      </c>
    </row>
    <row r="933" spans="1:13">
      <c r="A933" t="s">
        <v>12</v>
      </c>
      <c r="B933" t="s">
        <v>165</v>
      </c>
      <c r="C933" t="s">
        <v>101</v>
      </c>
      <c r="D933" t="s">
        <v>33</v>
      </c>
      <c r="E933" s="3">
        <v>0.7</v>
      </c>
      <c r="F933" s="3">
        <v>0.72099999999999997</v>
      </c>
      <c r="G933">
        <v>2.08</v>
      </c>
      <c r="H933" s="3">
        <v>1.456</v>
      </c>
      <c r="I933">
        <v>93</v>
      </c>
      <c r="J933">
        <v>2</v>
      </c>
      <c r="K933">
        <v>52</v>
      </c>
      <c r="L933" s="13">
        <f>(Table2[[#This Row],[STARTING INVENTORY]]-Table2[[#This Row],[ENDING INVENTORY]])/(Table2[[#This Row],[STARTING INVENTORY]])</f>
        <v>0.44086021505376344</v>
      </c>
      <c r="M933">
        <f>Table2[[#This Row],[STARTING INVENTORY]]-Table2[[#This Row],[ENDING INVENTORY]]</f>
        <v>41</v>
      </c>
    </row>
    <row r="934" spans="1:13">
      <c r="A934" t="s">
        <v>12</v>
      </c>
      <c r="B934" t="s">
        <v>165</v>
      </c>
      <c r="C934" t="s">
        <v>107</v>
      </c>
      <c r="D934" t="s">
        <v>33</v>
      </c>
      <c r="E934" s="3">
        <v>0.55000000000000004</v>
      </c>
      <c r="F934" s="3">
        <v>0.56650000000000011</v>
      </c>
      <c r="G934">
        <v>2.0300000000000002</v>
      </c>
      <c r="H934" s="3">
        <v>1.1165000000000003</v>
      </c>
      <c r="I934">
        <v>170</v>
      </c>
      <c r="J934">
        <v>1</v>
      </c>
      <c r="K934">
        <v>169</v>
      </c>
      <c r="L934" s="13">
        <f>(Table2[[#This Row],[STARTING INVENTORY]]-Table2[[#This Row],[ENDING INVENTORY]])/(Table2[[#This Row],[STARTING INVENTORY]])</f>
        <v>5.8823529411764705E-3</v>
      </c>
      <c r="M934">
        <f>Table2[[#This Row],[STARTING INVENTORY]]-Table2[[#This Row],[ENDING INVENTORY]]</f>
        <v>1</v>
      </c>
    </row>
    <row r="935" spans="1:13">
      <c r="A935" t="s">
        <v>12</v>
      </c>
      <c r="B935" t="s">
        <v>165</v>
      </c>
      <c r="C935" t="s">
        <v>113</v>
      </c>
      <c r="D935" t="s">
        <v>33</v>
      </c>
      <c r="E935" s="3">
        <v>1.4</v>
      </c>
      <c r="F935" s="3">
        <v>1.4419999999999999</v>
      </c>
      <c r="G935">
        <v>1.96</v>
      </c>
      <c r="H935" s="3">
        <v>2.7439999999999998</v>
      </c>
      <c r="I935">
        <v>67</v>
      </c>
      <c r="J935">
        <v>0</v>
      </c>
      <c r="K935">
        <v>58</v>
      </c>
      <c r="L935" s="13">
        <f>(Table2[[#This Row],[STARTING INVENTORY]]-Table2[[#This Row],[ENDING INVENTORY]])/(Table2[[#This Row],[STARTING INVENTORY]])</f>
        <v>0.13432835820895522</v>
      </c>
      <c r="M935">
        <f>Table2[[#This Row],[STARTING INVENTORY]]-Table2[[#This Row],[ENDING INVENTORY]]</f>
        <v>9</v>
      </c>
    </row>
    <row r="936" spans="1:13">
      <c r="A936" t="s">
        <v>12</v>
      </c>
      <c r="B936" t="s">
        <v>165</v>
      </c>
      <c r="C936" t="s">
        <v>119</v>
      </c>
      <c r="D936" t="s">
        <v>33</v>
      </c>
      <c r="E936" s="3">
        <v>2</v>
      </c>
      <c r="F936" s="3">
        <v>2.06</v>
      </c>
      <c r="G936">
        <v>2.0099999999999998</v>
      </c>
      <c r="H936" s="3">
        <v>4.0199999999999996</v>
      </c>
      <c r="I936">
        <v>99</v>
      </c>
      <c r="J936">
        <v>0</v>
      </c>
      <c r="K936">
        <v>46</v>
      </c>
      <c r="L936" s="13">
        <f>(Table2[[#This Row],[STARTING INVENTORY]]-Table2[[#This Row],[ENDING INVENTORY]])/(Table2[[#This Row],[STARTING INVENTORY]])</f>
        <v>0.53535353535353536</v>
      </c>
      <c r="M936">
        <f>Table2[[#This Row],[STARTING INVENTORY]]-Table2[[#This Row],[ENDING INVENTORY]]</f>
        <v>53</v>
      </c>
    </row>
    <row r="937" spans="1:13">
      <c r="A937" t="s">
        <v>12</v>
      </c>
      <c r="B937" t="s">
        <v>165</v>
      </c>
      <c r="C937" t="s">
        <v>125</v>
      </c>
      <c r="D937" t="s">
        <v>33</v>
      </c>
      <c r="E937" s="3">
        <v>2.25</v>
      </c>
      <c r="F937" s="3">
        <v>2.3174999999999999</v>
      </c>
      <c r="G937">
        <v>2.1</v>
      </c>
      <c r="H937" s="3">
        <v>4.7250000000000005</v>
      </c>
      <c r="I937">
        <v>172</v>
      </c>
      <c r="J937">
        <v>6</v>
      </c>
      <c r="K937">
        <v>161</v>
      </c>
      <c r="L937" s="13">
        <f>(Table2[[#This Row],[STARTING INVENTORY]]-Table2[[#This Row],[ENDING INVENTORY]])/(Table2[[#This Row],[STARTING INVENTORY]])</f>
        <v>6.3953488372093026E-2</v>
      </c>
      <c r="M937">
        <f>Table2[[#This Row],[STARTING INVENTORY]]-Table2[[#This Row],[ENDING INVENTORY]]</f>
        <v>11</v>
      </c>
    </row>
    <row r="938" spans="1:13">
      <c r="A938" t="s">
        <v>12</v>
      </c>
      <c r="B938" t="s">
        <v>165</v>
      </c>
      <c r="C938" t="s">
        <v>131</v>
      </c>
      <c r="D938" t="s">
        <v>33</v>
      </c>
      <c r="E938" s="3">
        <v>3.4</v>
      </c>
      <c r="F938" s="3">
        <v>3.5019999999999998</v>
      </c>
      <c r="G938">
        <v>2.0700000000000003</v>
      </c>
      <c r="H938" s="3">
        <v>7.0380000000000011</v>
      </c>
      <c r="I938">
        <v>167</v>
      </c>
      <c r="J938">
        <v>0</v>
      </c>
      <c r="K938">
        <v>164</v>
      </c>
      <c r="L938" s="13">
        <f>(Table2[[#This Row],[STARTING INVENTORY]]-Table2[[#This Row],[ENDING INVENTORY]])/(Table2[[#This Row],[STARTING INVENTORY]])</f>
        <v>1.7964071856287425E-2</v>
      </c>
      <c r="M938">
        <f>Table2[[#This Row],[STARTING INVENTORY]]-Table2[[#This Row],[ENDING INVENTORY]]</f>
        <v>3</v>
      </c>
    </row>
    <row r="939" spans="1:13">
      <c r="A939" t="s">
        <v>12</v>
      </c>
      <c r="B939" t="s">
        <v>165</v>
      </c>
      <c r="C939" t="s">
        <v>137</v>
      </c>
      <c r="D939" t="s">
        <v>33</v>
      </c>
      <c r="E939" s="3">
        <v>3.1</v>
      </c>
      <c r="F939" s="3">
        <v>3.1930000000000001</v>
      </c>
      <c r="G939">
        <v>2.09</v>
      </c>
      <c r="H939" s="3">
        <v>6.4790000000000001</v>
      </c>
      <c r="I939">
        <v>142</v>
      </c>
      <c r="J939">
        <v>3</v>
      </c>
      <c r="K939">
        <v>133</v>
      </c>
      <c r="L939" s="13">
        <f>(Table2[[#This Row],[STARTING INVENTORY]]-Table2[[#This Row],[ENDING INVENTORY]])/(Table2[[#This Row],[STARTING INVENTORY]])</f>
        <v>6.3380281690140844E-2</v>
      </c>
      <c r="M939">
        <f>Table2[[#This Row],[STARTING INVENTORY]]-Table2[[#This Row],[ENDING INVENTORY]]</f>
        <v>9</v>
      </c>
    </row>
    <row r="940" spans="1:13">
      <c r="A940" t="s">
        <v>12</v>
      </c>
      <c r="B940" t="s">
        <v>165</v>
      </c>
      <c r="C940" t="s">
        <v>143</v>
      </c>
      <c r="D940" t="s">
        <v>33</v>
      </c>
      <c r="E940" s="3">
        <v>1.5</v>
      </c>
      <c r="F940" s="3">
        <v>1.5449999999999999</v>
      </c>
      <c r="G940">
        <v>2.0099999999999998</v>
      </c>
      <c r="H940" s="3">
        <v>3.0149999999999997</v>
      </c>
      <c r="I940">
        <v>101</v>
      </c>
      <c r="J940">
        <v>5</v>
      </c>
      <c r="K940">
        <v>6</v>
      </c>
      <c r="L940" s="13">
        <f>(Table2[[#This Row],[STARTING INVENTORY]]-Table2[[#This Row],[ENDING INVENTORY]])/(Table2[[#This Row],[STARTING INVENTORY]])</f>
        <v>0.94059405940594054</v>
      </c>
      <c r="M940">
        <f>Table2[[#This Row],[STARTING INVENTORY]]-Table2[[#This Row],[ENDING INVENTORY]]</f>
        <v>95</v>
      </c>
    </row>
    <row r="941" spans="1:13">
      <c r="A941" t="s">
        <v>12</v>
      </c>
      <c r="B941" t="s">
        <v>165</v>
      </c>
      <c r="C941" t="s">
        <v>149</v>
      </c>
      <c r="D941" t="s">
        <v>33</v>
      </c>
      <c r="E941" s="3">
        <v>1.9</v>
      </c>
      <c r="F941" s="3">
        <v>1.9569999999999999</v>
      </c>
      <c r="G941">
        <v>2.09</v>
      </c>
      <c r="H941" s="3">
        <v>3.9709999999999996</v>
      </c>
      <c r="I941">
        <v>100</v>
      </c>
      <c r="J941">
        <v>3</v>
      </c>
      <c r="K941">
        <v>95</v>
      </c>
      <c r="L941" s="13">
        <f>(Table2[[#This Row],[STARTING INVENTORY]]-Table2[[#This Row],[ENDING INVENTORY]])/(Table2[[#This Row],[STARTING INVENTORY]])</f>
        <v>0.05</v>
      </c>
      <c r="M941">
        <f>Table2[[#This Row],[STARTING INVENTORY]]-Table2[[#This Row],[ENDING INVENTORY]]</f>
        <v>5</v>
      </c>
    </row>
    <row r="942" spans="1:13">
      <c r="A942" t="s">
        <v>12</v>
      </c>
      <c r="B942" t="s">
        <v>166</v>
      </c>
      <c r="C942" t="s">
        <v>34</v>
      </c>
      <c r="D942" t="s">
        <v>33</v>
      </c>
      <c r="E942" s="3">
        <v>1.3</v>
      </c>
      <c r="F942" s="3">
        <v>1.3390000000000002</v>
      </c>
      <c r="G942">
        <v>2.02</v>
      </c>
      <c r="H942" s="3">
        <v>2.6260000000000003</v>
      </c>
      <c r="I942">
        <v>140</v>
      </c>
      <c r="J942">
        <v>6</v>
      </c>
      <c r="K942">
        <v>32</v>
      </c>
      <c r="L942" s="13">
        <f>(Table2[[#This Row],[STARTING INVENTORY]]-Table2[[#This Row],[ENDING INVENTORY]])/(Table2[[#This Row],[STARTING INVENTORY]])</f>
        <v>0.77142857142857146</v>
      </c>
      <c r="M942">
        <f>Table2[[#This Row],[STARTING INVENTORY]]-Table2[[#This Row],[ENDING INVENTORY]]</f>
        <v>108</v>
      </c>
    </row>
    <row r="943" spans="1:13">
      <c r="A943" t="s">
        <v>12</v>
      </c>
      <c r="B943" t="s">
        <v>166</v>
      </c>
      <c r="C943" t="s">
        <v>40</v>
      </c>
      <c r="D943" t="s">
        <v>33</v>
      </c>
      <c r="E943" s="3">
        <v>1.6</v>
      </c>
      <c r="F943" s="3">
        <v>1.6480000000000001</v>
      </c>
      <c r="G943">
        <v>2.0099999999999998</v>
      </c>
      <c r="H943" s="3">
        <v>3.2159999999999997</v>
      </c>
      <c r="I943">
        <v>45</v>
      </c>
      <c r="J943">
        <v>1</v>
      </c>
      <c r="K943">
        <v>6</v>
      </c>
      <c r="L943" s="13">
        <f>(Table2[[#This Row],[STARTING INVENTORY]]-Table2[[#This Row],[ENDING INVENTORY]])/(Table2[[#This Row],[STARTING INVENTORY]])</f>
        <v>0.8666666666666667</v>
      </c>
      <c r="M943">
        <f>Table2[[#This Row],[STARTING INVENTORY]]-Table2[[#This Row],[ENDING INVENTORY]]</f>
        <v>39</v>
      </c>
    </row>
    <row r="944" spans="1:13">
      <c r="A944" t="s">
        <v>12</v>
      </c>
      <c r="B944" t="s">
        <v>166</v>
      </c>
      <c r="C944" t="s">
        <v>46</v>
      </c>
      <c r="D944" t="s">
        <v>33</v>
      </c>
      <c r="E944" s="3">
        <v>1.35</v>
      </c>
      <c r="F944" s="3">
        <v>1.3905000000000001</v>
      </c>
      <c r="G944">
        <v>2.04</v>
      </c>
      <c r="H944" s="3">
        <v>2.7540000000000004</v>
      </c>
      <c r="I944">
        <v>91</v>
      </c>
      <c r="J944">
        <v>8</v>
      </c>
      <c r="K944">
        <v>56</v>
      </c>
      <c r="L944" s="13">
        <f>(Table2[[#This Row],[STARTING INVENTORY]]-Table2[[#This Row],[ENDING INVENTORY]])/(Table2[[#This Row],[STARTING INVENTORY]])</f>
        <v>0.38461538461538464</v>
      </c>
      <c r="M944">
        <f>Table2[[#This Row],[STARTING INVENTORY]]-Table2[[#This Row],[ENDING INVENTORY]]</f>
        <v>35</v>
      </c>
    </row>
    <row r="945" spans="1:13">
      <c r="A945" t="s">
        <v>12</v>
      </c>
      <c r="B945" t="s">
        <v>166</v>
      </c>
      <c r="C945" t="s">
        <v>52</v>
      </c>
      <c r="D945" t="s">
        <v>33</v>
      </c>
      <c r="E945" s="3">
        <v>1.6</v>
      </c>
      <c r="F945" s="3">
        <v>1.6480000000000001</v>
      </c>
      <c r="G945">
        <v>1.96</v>
      </c>
      <c r="H945" s="3">
        <v>3.1360000000000001</v>
      </c>
      <c r="I945">
        <v>65</v>
      </c>
      <c r="J945">
        <v>0</v>
      </c>
      <c r="K945">
        <v>11</v>
      </c>
      <c r="L945" s="13">
        <f>(Table2[[#This Row],[STARTING INVENTORY]]-Table2[[#This Row],[ENDING INVENTORY]])/(Table2[[#This Row],[STARTING INVENTORY]])</f>
        <v>0.83076923076923082</v>
      </c>
      <c r="M945">
        <f>Table2[[#This Row],[STARTING INVENTORY]]-Table2[[#This Row],[ENDING INVENTORY]]</f>
        <v>54</v>
      </c>
    </row>
    <row r="946" spans="1:13">
      <c r="A946" t="s">
        <v>12</v>
      </c>
      <c r="B946" t="s">
        <v>166</v>
      </c>
      <c r="C946" t="s">
        <v>58</v>
      </c>
      <c r="D946" t="s">
        <v>33</v>
      </c>
      <c r="E946" s="3">
        <v>2.1</v>
      </c>
      <c r="F946" s="3">
        <v>2.1630000000000003</v>
      </c>
      <c r="G946">
        <v>2.0300000000000002</v>
      </c>
      <c r="H946" s="3">
        <v>4.2630000000000008</v>
      </c>
      <c r="I946">
        <v>103</v>
      </c>
      <c r="J946">
        <v>0</v>
      </c>
      <c r="K946">
        <v>15</v>
      </c>
      <c r="L946" s="13">
        <f>(Table2[[#This Row],[STARTING INVENTORY]]-Table2[[#This Row],[ENDING INVENTORY]])/(Table2[[#This Row],[STARTING INVENTORY]])</f>
        <v>0.85436893203883491</v>
      </c>
      <c r="M946">
        <f>Table2[[#This Row],[STARTING INVENTORY]]-Table2[[#This Row],[ENDING INVENTORY]]</f>
        <v>88</v>
      </c>
    </row>
    <row r="947" spans="1:13">
      <c r="A947" t="s">
        <v>12</v>
      </c>
      <c r="B947" t="s">
        <v>166</v>
      </c>
      <c r="C947" t="s">
        <v>64</v>
      </c>
      <c r="D947" t="s">
        <v>33</v>
      </c>
      <c r="E947" s="3">
        <v>1.85</v>
      </c>
      <c r="F947" s="3">
        <v>1.9055000000000002</v>
      </c>
      <c r="G947">
        <v>2.1</v>
      </c>
      <c r="H947" s="3">
        <v>3.8850000000000002</v>
      </c>
      <c r="I947">
        <v>137</v>
      </c>
      <c r="J947">
        <v>3</v>
      </c>
      <c r="K947">
        <v>42</v>
      </c>
      <c r="L947" s="13">
        <f>(Table2[[#This Row],[STARTING INVENTORY]]-Table2[[#This Row],[ENDING INVENTORY]])/(Table2[[#This Row],[STARTING INVENTORY]])</f>
        <v>0.69343065693430661</v>
      </c>
      <c r="M947">
        <f>Table2[[#This Row],[STARTING INVENTORY]]-Table2[[#This Row],[ENDING INVENTORY]]</f>
        <v>95</v>
      </c>
    </row>
    <row r="948" spans="1:13">
      <c r="A948" t="s">
        <v>12</v>
      </c>
      <c r="B948" t="s">
        <v>166</v>
      </c>
      <c r="C948" t="s">
        <v>70</v>
      </c>
      <c r="D948" t="s">
        <v>33</v>
      </c>
      <c r="E948" s="3">
        <v>1.55</v>
      </c>
      <c r="F948" s="3">
        <v>1.5965</v>
      </c>
      <c r="G948">
        <v>1.95</v>
      </c>
      <c r="H948" s="3">
        <v>3.0225</v>
      </c>
      <c r="I948">
        <v>98</v>
      </c>
      <c r="J948">
        <v>8</v>
      </c>
      <c r="K948">
        <v>76</v>
      </c>
      <c r="L948" s="13">
        <f>(Table2[[#This Row],[STARTING INVENTORY]]-Table2[[#This Row],[ENDING INVENTORY]])/(Table2[[#This Row],[STARTING INVENTORY]])</f>
        <v>0.22448979591836735</v>
      </c>
      <c r="M948">
        <f>Table2[[#This Row],[STARTING INVENTORY]]-Table2[[#This Row],[ENDING INVENTORY]]</f>
        <v>22</v>
      </c>
    </row>
    <row r="949" spans="1:13">
      <c r="A949" t="s">
        <v>12</v>
      </c>
      <c r="B949" t="s">
        <v>166</v>
      </c>
      <c r="C949" t="s">
        <v>76</v>
      </c>
      <c r="D949" t="s">
        <v>33</v>
      </c>
      <c r="E949" s="3">
        <v>1.55</v>
      </c>
      <c r="F949" s="3">
        <v>1.5965</v>
      </c>
      <c r="G949">
        <v>2.0300000000000002</v>
      </c>
      <c r="H949" s="3">
        <v>3.1465000000000005</v>
      </c>
      <c r="I949">
        <v>95</v>
      </c>
      <c r="J949">
        <v>5</v>
      </c>
      <c r="K949">
        <v>6</v>
      </c>
      <c r="L949" s="13">
        <f>(Table2[[#This Row],[STARTING INVENTORY]]-Table2[[#This Row],[ENDING INVENTORY]])/(Table2[[#This Row],[STARTING INVENTORY]])</f>
        <v>0.93684210526315792</v>
      </c>
      <c r="M949">
        <f>Table2[[#This Row],[STARTING INVENTORY]]-Table2[[#This Row],[ENDING INVENTORY]]</f>
        <v>89</v>
      </c>
    </row>
    <row r="950" spans="1:13">
      <c r="A950" t="s">
        <v>12</v>
      </c>
      <c r="B950" t="s">
        <v>166</v>
      </c>
      <c r="C950" t="s">
        <v>82</v>
      </c>
      <c r="D950" t="s">
        <v>33</v>
      </c>
      <c r="E950" s="3">
        <v>1.75</v>
      </c>
      <c r="F950" s="3">
        <v>1.8025</v>
      </c>
      <c r="G950">
        <v>1.99</v>
      </c>
      <c r="H950" s="3">
        <v>3.4824999999999999</v>
      </c>
      <c r="I950">
        <v>98</v>
      </c>
      <c r="J950">
        <v>0</v>
      </c>
      <c r="K950">
        <v>50</v>
      </c>
      <c r="L950" s="13">
        <f>(Table2[[#This Row],[STARTING INVENTORY]]-Table2[[#This Row],[ENDING INVENTORY]])/(Table2[[#This Row],[STARTING INVENTORY]])</f>
        <v>0.48979591836734693</v>
      </c>
      <c r="M950">
        <f>Table2[[#This Row],[STARTING INVENTORY]]-Table2[[#This Row],[ENDING INVENTORY]]</f>
        <v>48</v>
      </c>
    </row>
    <row r="951" spans="1:13">
      <c r="A951" t="s">
        <v>12</v>
      </c>
      <c r="B951" t="s">
        <v>166</v>
      </c>
      <c r="C951" t="s">
        <v>88</v>
      </c>
      <c r="D951" t="s">
        <v>33</v>
      </c>
      <c r="E951" s="3">
        <v>2.2000000000000002</v>
      </c>
      <c r="F951" s="3">
        <v>2.2660000000000005</v>
      </c>
      <c r="G951">
        <v>2.04</v>
      </c>
      <c r="H951" s="3">
        <v>4.4880000000000004</v>
      </c>
      <c r="I951">
        <v>148</v>
      </c>
      <c r="J951">
        <v>1</v>
      </c>
      <c r="K951">
        <v>74</v>
      </c>
      <c r="L951" s="13">
        <f>(Table2[[#This Row],[STARTING INVENTORY]]-Table2[[#This Row],[ENDING INVENTORY]])/(Table2[[#This Row],[STARTING INVENTORY]])</f>
        <v>0.5</v>
      </c>
      <c r="M951">
        <f>Table2[[#This Row],[STARTING INVENTORY]]-Table2[[#This Row],[ENDING INVENTORY]]</f>
        <v>74</v>
      </c>
    </row>
    <row r="952" spans="1:13">
      <c r="A952" t="s">
        <v>12</v>
      </c>
      <c r="B952" t="s">
        <v>166</v>
      </c>
      <c r="C952" t="s">
        <v>94</v>
      </c>
      <c r="D952" t="s">
        <v>33</v>
      </c>
      <c r="E952" s="3">
        <v>2.75</v>
      </c>
      <c r="F952" s="3">
        <v>2.8325</v>
      </c>
      <c r="G952">
        <v>2.04</v>
      </c>
      <c r="H952" s="3">
        <v>5.61</v>
      </c>
      <c r="I952">
        <v>109</v>
      </c>
      <c r="J952">
        <v>7</v>
      </c>
      <c r="K952">
        <v>7</v>
      </c>
      <c r="L952" s="13">
        <f>(Table2[[#This Row],[STARTING INVENTORY]]-Table2[[#This Row],[ENDING INVENTORY]])/(Table2[[#This Row],[STARTING INVENTORY]])</f>
        <v>0.93577981651376152</v>
      </c>
      <c r="M952">
        <f>Table2[[#This Row],[STARTING INVENTORY]]-Table2[[#This Row],[ENDING INVENTORY]]</f>
        <v>102</v>
      </c>
    </row>
    <row r="953" spans="1:13">
      <c r="A953" t="s">
        <v>12</v>
      </c>
      <c r="B953" t="s">
        <v>166</v>
      </c>
      <c r="C953" t="s">
        <v>100</v>
      </c>
      <c r="D953" t="s">
        <v>33</v>
      </c>
      <c r="E953" s="3">
        <v>2.4</v>
      </c>
      <c r="F953" s="3">
        <v>2.472</v>
      </c>
      <c r="G953">
        <v>1.97</v>
      </c>
      <c r="H953" s="3">
        <v>4.7279999999999998</v>
      </c>
      <c r="I953">
        <v>140</v>
      </c>
      <c r="J953">
        <v>1</v>
      </c>
      <c r="K953">
        <v>44</v>
      </c>
      <c r="L953" s="13">
        <f>(Table2[[#This Row],[STARTING INVENTORY]]-Table2[[#This Row],[ENDING INVENTORY]])/(Table2[[#This Row],[STARTING INVENTORY]])</f>
        <v>0.68571428571428572</v>
      </c>
      <c r="M953">
        <f>Table2[[#This Row],[STARTING INVENTORY]]-Table2[[#This Row],[ENDING INVENTORY]]</f>
        <v>96</v>
      </c>
    </row>
    <row r="954" spans="1:13">
      <c r="A954" t="s">
        <v>12</v>
      </c>
      <c r="B954" t="s">
        <v>166</v>
      </c>
      <c r="C954" t="s">
        <v>106</v>
      </c>
      <c r="D954" t="s">
        <v>33</v>
      </c>
      <c r="E954" s="3">
        <v>2.7</v>
      </c>
      <c r="F954" s="3">
        <v>2.7810000000000001</v>
      </c>
      <c r="G954">
        <v>2.0099999999999998</v>
      </c>
      <c r="H954" s="3">
        <v>5.4269999999999996</v>
      </c>
      <c r="I954">
        <v>72</v>
      </c>
      <c r="J954">
        <v>5</v>
      </c>
      <c r="K954">
        <v>58</v>
      </c>
      <c r="L954" s="13">
        <f>(Table2[[#This Row],[STARTING INVENTORY]]-Table2[[#This Row],[ENDING INVENTORY]])/(Table2[[#This Row],[STARTING INVENTORY]])</f>
        <v>0.19444444444444445</v>
      </c>
      <c r="M954">
        <f>Table2[[#This Row],[STARTING INVENTORY]]-Table2[[#This Row],[ENDING INVENTORY]]</f>
        <v>14</v>
      </c>
    </row>
    <row r="955" spans="1:13">
      <c r="A955" t="s">
        <v>12</v>
      </c>
      <c r="B955" t="s">
        <v>166</v>
      </c>
      <c r="C955" t="s">
        <v>112</v>
      </c>
      <c r="D955" t="s">
        <v>33</v>
      </c>
      <c r="E955" s="3">
        <v>2.6</v>
      </c>
      <c r="F955" s="3">
        <v>2.6780000000000004</v>
      </c>
      <c r="G955">
        <v>2.09</v>
      </c>
      <c r="H955" s="3">
        <v>5.4340000000000002</v>
      </c>
      <c r="I955">
        <v>92</v>
      </c>
      <c r="J955">
        <v>5</v>
      </c>
      <c r="K955">
        <v>3</v>
      </c>
      <c r="L955" s="13">
        <f>(Table2[[#This Row],[STARTING INVENTORY]]-Table2[[#This Row],[ENDING INVENTORY]])/(Table2[[#This Row],[STARTING INVENTORY]])</f>
        <v>0.96739130434782605</v>
      </c>
      <c r="M955">
        <f>Table2[[#This Row],[STARTING INVENTORY]]-Table2[[#This Row],[ENDING INVENTORY]]</f>
        <v>89</v>
      </c>
    </row>
    <row r="956" spans="1:13">
      <c r="A956" t="s">
        <v>12</v>
      </c>
      <c r="B956" t="s">
        <v>166</v>
      </c>
      <c r="C956" t="s">
        <v>118</v>
      </c>
      <c r="D956" t="s">
        <v>33</v>
      </c>
      <c r="E956" s="3">
        <v>4</v>
      </c>
      <c r="F956" s="3">
        <v>4.12</v>
      </c>
      <c r="G956">
        <v>2.06</v>
      </c>
      <c r="H956" s="3">
        <v>8.24</v>
      </c>
      <c r="I956">
        <v>61</v>
      </c>
      <c r="J956">
        <v>2</v>
      </c>
      <c r="K956">
        <v>39</v>
      </c>
      <c r="L956" s="13">
        <f>(Table2[[#This Row],[STARTING INVENTORY]]-Table2[[#This Row],[ENDING INVENTORY]])/(Table2[[#This Row],[STARTING INVENTORY]])</f>
        <v>0.36065573770491804</v>
      </c>
      <c r="M956">
        <f>Table2[[#This Row],[STARTING INVENTORY]]-Table2[[#This Row],[ENDING INVENTORY]]</f>
        <v>22</v>
      </c>
    </row>
    <row r="957" spans="1:13">
      <c r="A957" t="s">
        <v>12</v>
      </c>
      <c r="B957" t="s">
        <v>166</v>
      </c>
      <c r="C957" t="s">
        <v>124</v>
      </c>
      <c r="D957" t="s">
        <v>33</v>
      </c>
      <c r="E957" s="3">
        <v>4.25</v>
      </c>
      <c r="F957" s="3">
        <v>4.3775000000000004</v>
      </c>
      <c r="G957">
        <v>2.06</v>
      </c>
      <c r="H957" s="3">
        <v>8.7550000000000008</v>
      </c>
      <c r="I957">
        <v>60</v>
      </c>
      <c r="J957">
        <v>1</v>
      </c>
      <c r="K957">
        <v>2</v>
      </c>
      <c r="L957" s="13">
        <f>(Table2[[#This Row],[STARTING INVENTORY]]-Table2[[#This Row],[ENDING INVENTORY]])/(Table2[[#This Row],[STARTING INVENTORY]])</f>
        <v>0.96666666666666667</v>
      </c>
      <c r="M957">
        <f>Table2[[#This Row],[STARTING INVENTORY]]-Table2[[#This Row],[ENDING INVENTORY]]</f>
        <v>58</v>
      </c>
    </row>
    <row r="958" spans="1:13">
      <c r="A958" t="s">
        <v>12</v>
      </c>
      <c r="B958" t="s">
        <v>166</v>
      </c>
      <c r="C958" t="s">
        <v>130</v>
      </c>
      <c r="D958" t="s">
        <v>33</v>
      </c>
      <c r="E958" s="3">
        <v>5</v>
      </c>
      <c r="F958" s="3">
        <v>5.15</v>
      </c>
      <c r="G958">
        <v>2</v>
      </c>
      <c r="H958" s="3">
        <v>10</v>
      </c>
      <c r="I958">
        <v>109</v>
      </c>
      <c r="J958">
        <v>2</v>
      </c>
      <c r="K958">
        <v>28</v>
      </c>
      <c r="L958" s="13">
        <f>(Table2[[#This Row],[STARTING INVENTORY]]-Table2[[#This Row],[ENDING INVENTORY]])/(Table2[[#This Row],[STARTING INVENTORY]])</f>
        <v>0.74311926605504586</v>
      </c>
      <c r="M958">
        <f>Table2[[#This Row],[STARTING INVENTORY]]-Table2[[#This Row],[ENDING INVENTORY]]</f>
        <v>81</v>
      </c>
    </row>
    <row r="959" spans="1:13">
      <c r="A959" t="s">
        <v>12</v>
      </c>
      <c r="B959" t="s">
        <v>166</v>
      </c>
      <c r="C959" t="s">
        <v>136</v>
      </c>
      <c r="D959" t="s">
        <v>33</v>
      </c>
      <c r="E959" s="3">
        <v>3</v>
      </c>
      <c r="F959" s="3">
        <v>3.09</v>
      </c>
      <c r="G959">
        <v>2.0499999999999998</v>
      </c>
      <c r="H959" s="3">
        <v>6.1499999999999995</v>
      </c>
      <c r="I959">
        <v>109</v>
      </c>
      <c r="J959">
        <v>0</v>
      </c>
      <c r="K959">
        <v>104</v>
      </c>
      <c r="L959" s="13">
        <f>(Table2[[#This Row],[STARTING INVENTORY]]-Table2[[#This Row],[ENDING INVENTORY]])/(Table2[[#This Row],[STARTING INVENTORY]])</f>
        <v>4.5871559633027525E-2</v>
      </c>
      <c r="M959">
        <f>Table2[[#This Row],[STARTING INVENTORY]]-Table2[[#This Row],[ENDING INVENTORY]]</f>
        <v>5</v>
      </c>
    </row>
    <row r="960" spans="1:13">
      <c r="A960" t="s">
        <v>12</v>
      </c>
      <c r="B960" t="s">
        <v>166</v>
      </c>
      <c r="C960" t="s">
        <v>142</v>
      </c>
      <c r="D960" t="s">
        <v>33</v>
      </c>
      <c r="E960" s="3">
        <v>2.4</v>
      </c>
      <c r="F960" s="3">
        <v>2.472</v>
      </c>
      <c r="G960">
        <v>2</v>
      </c>
      <c r="H960" s="3">
        <v>4.8</v>
      </c>
      <c r="I960">
        <v>43</v>
      </c>
      <c r="J960">
        <v>6</v>
      </c>
      <c r="K960">
        <v>28</v>
      </c>
      <c r="L960" s="13">
        <f>(Table2[[#This Row],[STARTING INVENTORY]]-Table2[[#This Row],[ENDING INVENTORY]])/(Table2[[#This Row],[STARTING INVENTORY]])</f>
        <v>0.34883720930232559</v>
      </c>
      <c r="M960">
        <f>Table2[[#This Row],[STARTING INVENTORY]]-Table2[[#This Row],[ENDING INVENTORY]]</f>
        <v>15</v>
      </c>
    </row>
    <row r="961" spans="1:13">
      <c r="A961" t="s">
        <v>12</v>
      </c>
      <c r="B961" t="s">
        <v>166</v>
      </c>
      <c r="C961" t="s">
        <v>148</v>
      </c>
      <c r="D961" t="s">
        <v>33</v>
      </c>
      <c r="E961" s="3">
        <v>3.25</v>
      </c>
      <c r="F961" s="3">
        <v>3.3475000000000001</v>
      </c>
      <c r="G961">
        <v>2.0700000000000003</v>
      </c>
      <c r="H961" s="3">
        <v>6.7275000000000009</v>
      </c>
      <c r="I961">
        <v>133</v>
      </c>
      <c r="J961">
        <v>2</v>
      </c>
      <c r="K961">
        <v>97</v>
      </c>
      <c r="L961" s="13">
        <f>(Table2[[#This Row],[STARTING INVENTORY]]-Table2[[#This Row],[ENDING INVENTORY]])/(Table2[[#This Row],[STARTING INVENTORY]])</f>
        <v>0.27067669172932329</v>
      </c>
      <c r="M961">
        <f>Table2[[#This Row],[STARTING INVENTORY]]-Table2[[#This Row],[ENDING INVENTORY]]</f>
        <v>36</v>
      </c>
    </row>
    <row r="962" spans="1:13">
      <c r="A962" t="s">
        <v>13</v>
      </c>
      <c r="B962" t="s">
        <v>161</v>
      </c>
      <c r="C962" t="s">
        <v>28</v>
      </c>
      <c r="D962" t="s">
        <v>29</v>
      </c>
      <c r="E962" s="3">
        <v>0.35</v>
      </c>
      <c r="F962" s="3">
        <v>0.36399999999999999</v>
      </c>
      <c r="G962">
        <v>1.96</v>
      </c>
      <c r="H962" s="3">
        <v>0.68599999999999994</v>
      </c>
      <c r="I962">
        <v>124</v>
      </c>
      <c r="J962">
        <v>6</v>
      </c>
      <c r="K962">
        <v>97</v>
      </c>
      <c r="L962" s="13">
        <f>(Table2[[#This Row],[STARTING INVENTORY]]-Table2[[#This Row],[ENDING INVENTORY]])/(Table2[[#This Row],[STARTING INVENTORY]])</f>
        <v>0.21774193548387097</v>
      </c>
      <c r="M962">
        <f>Table2[[#This Row],[STARTING INVENTORY]]-Table2[[#This Row],[ENDING INVENTORY]]</f>
        <v>27</v>
      </c>
    </row>
    <row r="963" spans="1:13">
      <c r="A963" t="s">
        <v>13</v>
      </c>
      <c r="B963" t="s">
        <v>161</v>
      </c>
      <c r="C963" t="s">
        <v>36</v>
      </c>
      <c r="D963" t="s">
        <v>29</v>
      </c>
      <c r="E963" s="3">
        <v>0.85</v>
      </c>
      <c r="F963" s="3">
        <v>0.88400000000000001</v>
      </c>
      <c r="G963">
        <v>2.04</v>
      </c>
      <c r="H963" s="3">
        <v>1.734</v>
      </c>
      <c r="I963">
        <v>111</v>
      </c>
      <c r="J963">
        <v>0</v>
      </c>
      <c r="K963">
        <v>27</v>
      </c>
      <c r="L963" s="13">
        <f>(Table2[[#This Row],[STARTING INVENTORY]]-Table2[[#This Row],[ENDING INVENTORY]])/(Table2[[#This Row],[STARTING INVENTORY]])</f>
        <v>0.7567567567567568</v>
      </c>
      <c r="M963">
        <f>Table2[[#This Row],[STARTING INVENTORY]]-Table2[[#This Row],[ENDING INVENTORY]]</f>
        <v>84</v>
      </c>
    </row>
    <row r="964" spans="1:13">
      <c r="A964" t="s">
        <v>13</v>
      </c>
      <c r="B964" t="s">
        <v>161</v>
      </c>
      <c r="C964" t="s">
        <v>42</v>
      </c>
      <c r="D964" t="s">
        <v>29</v>
      </c>
      <c r="E964" s="3">
        <v>0.7</v>
      </c>
      <c r="F964" s="3">
        <v>0.72799999999999998</v>
      </c>
      <c r="G964">
        <v>2.08</v>
      </c>
      <c r="H964" s="3">
        <v>1.456</v>
      </c>
      <c r="I964">
        <v>143</v>
      </c>
      <c r="J964">
        <v>9</v>
      </c>
      <c r="K964">
        <v>78</v>
      </c>
      <c r="L964" s="13">
        <f>(Table2[[#This Row],[STARTING INVENTORY]]-Table2[[#This Row],[ENDING INVENTORY]])/(Table2[[#This Row],[STARTING INVENTORY]])</f>
        <v>0.45454545454545453</v>
      </c>
      <c r="M964">
        <f>Table2[[#This Row],[STARTING INVENTORY]]-Table2[[#This Row],[ENDING INVENTORY]]</f>
        <v>65</v>
      </c>
    </row>
    <row r="965" spans="1:13">
      <c r="A965" t="s">
        <v>13</v>
      </c>
      <c r="B965" t="s">
        <v>161</v>
      </c>
      <c r="C965" t="s">
        <v>48</v>
      </c>
      <c r="D965" t="s">
        <v>33</v>
      </c>
      <c r="E965" s="3">
        <v>0.35</v>
      </c>
      <c r="F965" s="3">
        <v>0.36399999999999999</v>
      </c>
      <c r="G965">
        <v>2.08</v>
      </c>
      <c r="H965" s="3">
        <v>0.72799999999999998</v>
      </c>
      <c r="I965">
        <v>144</v>
      </c>
      <c r="J965">
        <v>1</v>
      </c>
      <c r="K965">
        <v>123</v>
      </c>
      <c r="L965" s="13">
        <f>(Table2[[#This Row],[STARTING INVENTORY]]-Table2[[#This Row],[ENDING INVENTORY]])/(Table2[[#This Row],[STARTING INVENTORY]])</f>
        <v>0.14583333333333334</v>
      </c>
      <c r="M965">
        <f>Table2[[#This Row],[STARTING INVENTORY]]-Table2[[#This Row],[ENDING INVENTORY]]</f>
        <v>21</v>
      </c>
    </row>
    <row r="966" spans="1:13">
      <c r="A966" t="s">
        <v>13</v>
      </c>
      <c r="B966" t="s">
        <v>161</v>
      </c>
      <c r="C966" t="s">
        <v>54</v>
      </c>
      <c r="D966" t="s">
        <v>33</v>
      </c>
      <c r="E966" s="3">
        <v>0.2</v>
      </c>
      <c r="F966" s="3">
        <v>0.20800000000000002</v>
      </c>
      <c r="G966">
        <v>1.95</v>
      </c>
      <c r="H966" s="3">
        <v>0.39</v>
      </c>
      <c r="I966">
        <v>104</v>
      </c>
      <c r="J966">
        <v>0</v>
      </c>
      <c r="K966">
        <v>86</v>
      </c>
      <c r="L966" s="13">
        <f>(Table2[[#This Row],[STARTING INVENTORY]]-Table2[[#This Row],[ENDING INVENTORY]])/(Table2[[#This Row],[STARTING INVENTORY]])</f>
        <v>0.17307692307692307</v>
      </c>
      <c r="M966">
        <f>Table2[[#This Row],[STARTING INVENTORY]]-Table2[[#This Row],[ENDING INVENTORY]]</f>
        <v>18</v>
      </c>
    </row>
    <row r="967" spans="1:13">
      <c r="A967" t="s">
        <v>13</v>
      </c>
      <c r="B967" t="s">
        <v>161</v>
      </c>
      <c r="C967" t="s">
        <v>60</v>
      </c>
      <c r="D967" t="s">
        <v>33</v>
      </c>
      <c r="E967" s="3">
        <v>0.75</v>
      </c>
      <c r="F967" s="3">
        <v>0.78</v>
      </c>
      <c r="G967">
        <v>1.95</v>
      </c>
      <c r="H967" s="3">
        <v>1.4624999999999999</v>
      </c>
      <c r="I967">
        <v>186</v>
      </c>
      <c r="J967">
        <v>0</v>
      </c>
      <c r="K967">
        <v>171</v>
      </c>
      <c r="L967" s="13">
        <f>(Table2[[#This Row],[STARTING INVENTORY]]-Table2[[#This Row],[ENDING INVENTORY]])/(Table2[[#This Row],[STARTING INVENTORY]])</f>
        <v>8.0645161290322578E-2</v>
      </c>
      <c r="M967">
        <f>Table2[[#This Row],[STARTING INVENTORY]]-Table2[[#This Row],[ENDING INVENTORY]]</f>
        <v>15</v>
      </c>
    </row>
    <row r="968" spans="1:13">
      <c r="A968" t="s">
        <v>13</v>
      </c>
      <c r="B968" t="s">
        <v>161</v>
      </c>
      <c r="C968" t="s">
        <v>66</v>
      </c>
      <c r="D968" t="s">
        <v>29</v>
      </c>
      <c r="E968" s="3">
        <v>0.6</v>
      </c>
      <c r="F968" s="3">
        <v>0.624</v>
      </c>
      <c r="G968">
        <v>1.99</v>
      </c>
      <c r="H968" s="3">
        <v>1.194</v>
      </c>
      <c r="I968">
        <v>180</v>
      </c>
      <c r="J968">
        <v>4</v>
      </c>
      <c r="K968">
        <v>3</v>
      </c>
      <c r="L968" s="13">
        <f>(Table2[[#This Row],[STARTING INVENTORY]]-Table2[[#This Row],[ENDING INVENTORY]])/(Table2[[#This Row],[STARTING INVENTORY]])</f>
        <v>0.98333333333333328</v>
      </c>
      <c r="M968">
        <f>Table2[[#This Row],[STARTING INVENTORY]]-Table2[[#This Row],[ENDING INVENTORY]]</f>
        <v>177</v>
      </c>
    </row>
    <row r="969" spans="1:13">
      <c r="A969" t="s">
        <v>13</v>
      </c>
      <c r="B969" t="s">
        <v>161</v>
      </c>
      <c r="C969" t="s">
        <v>72</v>
      </c>
      <c r="D969" t="s">
        <v>29</v>
      </c>
      <c r="E969" s="3">
        <v>0.45</v>
      </c>
      <c r="F969" s="3">
        <v>0.46800000000000003</v>
      </c>
      <c r="G969">
        <v>2.0700000000000003</v>
      </c>
      <c r="H969" s="3">
        <v>0.93150000000000011</v>
      </c>
      <c r="I969">
        <v>80</v>
      </c>
      <c r="J969">
        <v>3</v>
      </c>
      <c r="K969">
        <v>8</v>
      </c>
      <c r="L969" s="13">
        <f>(Table2[[#This Row],[STARTING INVENTORY]]-Table2[[#This Row],[ENDING INVENTORY]])/(Table2[[#This Row],[STARTING INVENTORY]])</f>
        <v>0.9</v>
      </c>
      <c r="M969">
        <f>Table2[[#This Row],[STARTING INVENTORY]]-Table2[[#This Row],[ENDING INVENTORY]]</f>
        <v>72</v>
      </c>
    </row>
    <row r="970" spans="1:13">
      <c r="A970" t="s">
        <v>13</v>
      </c>
      <c r="B970" t="s">
        <v>161</v>
      </c>
      <c r="C970" t="s">
        <v>78</v>
      </c>
      <c r="D970" t="s">
        <v>29</v>
      </c>
      <c r="E970" s="3">
        <v>0.4</v>
      </c>
      <c r="F970" s="3">
        <v>0.41600000000000004</v>
      </c>
      <c r="G970">
        <v>2.0300000000000002</v>
      </c>
      <c r="H970" s="3">
        <v>0.81200000000000017</v>
      </c>
      <c r="I970">
        <v>89</v>
      </c>
      <c r="J970">
        <v>5</v>
      </c>
      <c r="K970">
        <v>4</v>
      </c>
      <c r="L970" s="13">
        <f>(Table2[[#This Row],[STARTING INVENTORY]]-Table2[[#This Row],[ENDING INVENTORY]])/(Table2[[#This Row],[STARTING INVENTORY]])</f>
        <v>0.9550561797752809</v>
      </c>
      <c r="M970">
        <f>Table2[[#This Row],[STARTING INVENTORY]]-Table2[[#This Row],[ENDING INVENTORY]]</f>
        <v>85</v>
      </c>
    </row>
    <row r="971" spans="1:13">
      <c r="A971" t="s">
        <v>13</v>
      </c>
      <c r="B971" t="s">
        <v>161</v>
      </c>
      <c r="C971" t="s">
        <v>84</v>
      </c>
      <c r="D971" t="s">
        <v>29</v>
      </c>
      <c r="E971" s="3">
        <v>0.35</v>
      </c>
      <c r="F971" s="3">
        <v>0.36399999999999999</v>
      </c>
      <c r="G971">
        <v>1.99</v>
      </c>
      <c r="H971" s="3">
        <v>0.69650000000000001</v>
      </c>
      <c r="I971">
        <v>85</v>
      </c>
      <c r="J971">
        <v>0</v>
      </c>
      <c r="K971">
        <v>55</v>
      </c>
      <c r="L971" s="13">
        <f>(Table2[[#This Row],[STARTING INVENTORY]]-Table2[[#This Row],[ENDING INVENTORY]])/(Table2[[#This Row],[STARTING INVENTORY]])</f>
        <v>0.35294117647058826</v>
      </c>
      <c r="M971">
        <f>Table2[[#This Row],[STARTING INVENTORY]]-Table2[[#This Row],[ENDING INVENTORY]]</f>
        <v>30</v>
      </c>
    </row>
    <row r="972" spans="1:13">
      <c r="A972" t="s">
        <v>13</v>
      </c>
      <c r="B972" t="s">
        <v>161</v>
      </c>
      <c r="C972" t="s">
        <v>90</v>
      </c>
      <c r="D972" t="s">
        <v>29</v>
      </c>
      <c r="E972" s="3">
        <v>0.9</v>
      </c>
      <c r="F972" s="3">
        <v>0.93600000000000005</v>
      </c>
      <c r="G972">
        <v>1.96</v>
      </c>
      <c r="H972" s="3">
        <v>1.764</v>
      </c>
      <c r="I972">
        <v>55</v>
      </c>
      <c r="J972">
        <v>0</v>
      </c>
      <c r="K972">
        <v>31</v>
      </c>
      <c r="L972" s="13">
        <f>(Table2[[#This Row],[STARTING INVENTORY]]-Table2[[#This Row],[ENDING INVENTORY]])/(Table2[[#This Row],[STARTING INVENTORY]])</f>
        <v>0.43636363636363634</v>
      </c>
      <c r="M972">
        <f>Table2[[#This Row],[STARTING INVENTORY]]-Table2[[#This Row],[ENDING INVENTORY]]</f>
        <v>24</v>
      </c>
    </row>
    <row r="973" spans="1:13">
      <c r="A973" t="s">
        <v>13</v>
      </c>
      <c r="B973" t="s">
        <v>161</v>
      </c>
      <c r="C973" t="s">
        <v>96</v>
      </c>
      <c r="D973" t="s">
        <v>33</v>
      </c>
      <c r="E973" s="3">
        <v>1</v>
      </c>
      <c r="F973" s="3">
        <v>1.04</v>
      </c>
      <c r="G973">
        <v>2.1</v>
      </c>
      <c r="H973" s="3">
        <v>2.1</v>
      </c>
      <c r="I973">
        <v>115</v>
      </c>
      <c r="J973">
        <v>2</v>
      </c>
      <c r="K973">
        <v>83</v>
      </c>
      <c r="L973" s="13">
        <f>(Table2[[#This Row],[STARTING INVENTORY]]-Table2[[#This Row],[ENDING INVENTORY]])/(Table2[[#This Row],[STARTING INVENTORY]])</f>
        <v>0.27826086956521739</v>
      </c>
      <c r="M973">
        <f>Table2[[#This Row],[STARTING INVENTORY]]-Table2[[#This Row],[ENDING INVENTORY]]</f>
        <v>32</v>
      </c>
    </row>
    <row r="974" spans="1:13">
      <c r="A974" t="s">
        <v>13</v>
      </c>
      <c r="B974" t="s">
        <v>161</v>
      </c>
      <c r="C974" t="s">
        <v>102</v>
      </c>
      <c r="D974" t="s">
        <v>29</v>
      </c>
      <c r="E974" s="3">
        <v>2.56</v>
      </c>
      <c r="F974" s="3">
        <v>2.6624000000000003</v>
      </c>
      <c r="G974">
        <v>1.95</v>
      </c>
      <c r="H974" s="3">
        <v>4.992</v>
      </c>
      <c r="I974">
        <v>124</v>
      </c>
      <c r="J974">
        <v>1</v>
      </c>
      <c r="K974">
        <v>49</v>
      </c>
      <c r="L974" s="13">
        <f>(Table2[[#This Row],[STARTING INVENTORY]]-Table2[[#This Row],[ENDING INVENTORY]])/(Table2[[#This Row],[STARTING INVENTORY]])</f>
        <v>0.60483870967741937</v>
      </c>
      <c r="M974">
        <f>Table2[[#This Row],[STARTING INVENTORY]]-Table2[[#This Row],[ENDING INVENTORY]]</f>
        <v>75</v>
      </c>
    </row>
    <row r="975" spans="1:13">
      <c r="A975" t="s">
        <v>13</v>
      </c>
      <c r="B975" t="s">
        <v>161</v>
      </c>
      <c r="C975" t="s">
        <v>108</v>
      </c>
      <c r="D975" t="s">
        <v>29</v>
      </c>
      <c r="E975" s="3">
        <v>0.75</v>
      </c>
      <c r="F975" s="3">
        <v>0.78</v>
      </c>
      <c r="G975">
        <v>2.08</v>
      </c>
      <c r="H975" s="3">
        <v>1.56</v>
      </c>
      <c r="I975">
        <v>53</v>
      </c>
      <c r="J975">
        <v>2</v>
      </c>
      <c r="K975">
        <v>10</v>
      </c>
      <c r="L975" s="13">
        <f>(Table2[[#This Row],[STARTING INVENTORY]]-Table2[[#This Row],[ENDING INVENTORY]])/(Table2[[#This Row],[STARTING INVENTORY]])</f>
        <v>0.81132075471698117</v>
      </c>
      <c r="M975">
        <f>Table2[[#This Row],[STARTING INVENTORY]]-Table2[[#This Row],[ENDING INVENTORY]]</f>
        <v>43</v>
      </c>
    </row>
    <row r="976" spans="1:13">
      <c r="A976" t="s">
        <v>13</v>
      </c>
      <c r="B976" t="s">
        <v>161</v>
      </c>
      <c r="C976" t="s">
        <v>114</v>
      </c>
      <c r="D976" t="s">
        <v>33</v>
      </c>
      <c r="E976" s="3">
        <v>0.4</v>
      </c>
      <c r="F976" s="3">
        <v>0.41600000000000004</v>
      </c>
      <c r="G976">
        <v>1.99</v>
      </c>
      <c r="H976" s="3">
        <v>0.79600000000000004</v>
      </c>
      <c r="I976">
        <v>128</v>
      </c>
      <c r="J976">
        <v>10</v>
      </c>
      <c r="K976">
        <v>14</v>
      </c>
      <c r="L976" s="13">
        <f>(Table2[[#This Row],[STARTING INVENTORY]]-Table2[[#This Row],[ENDING INVENTORY]])/(Table2[[#This Row],[STARTING INVENTORY]])</f>
        <v>0.890625</v>
      </c>
      <c r="M976">
        <f>Table2[[#This Row],[STARTING INVENTORY]]-Table2[[#This Row],[ENDING INVENTORY]]</f>
        <v>114</v>
      </c>
    </row>
    <row r="977" spans="1:13">
      <c r="A977" t="s">
        <v>13</v>
      </c>
      <c r="B977" t="s">
        <v>161</v>
      </c>
      <c r="C977" t="s">
        <v>120</v>
      </c>
      <c r="D977" t="s">
        <v>29</v>
      </c>
      <c r="E977" s="3">
        <v>1.4</v>
      </c>
      <c r="F977" s="3">
        <v>1.456</v>
      </c>
      <c r="G977">
        <v>2.02</v>
      </c>
      <c r="H977" s="3">
        <v>2.8279999999999998</v>
      </c>
      <c r="I977">
        <v>183</v>
      </c>
      <c r="J977">
        <v>9</v>
      </c>
      <c r="K977">
        <v>31</v>
      </c>
      <c r="L977" s="13">
        <f>(Table2[[#This Row],[STARTING INVENTORY]]-Table2[[#This Row],[ENDING INVENTORY]])/(Table2[[#This Row],[STARTING INVENTORY]])</f>
        <v>0.8306010928961749</v>
      </c>
      <c r="M977">
        <f>Table2[[#This Row],[STARTING INVENTORY]]-Table2[[#This Row],[ENDING INVENTORY]]</f>
        <v>152</v>
      </c>
    </row>
    <row r="978" spans="1:13">
      <c r="A978" t="s">
        <v>13</v>
      </c>
      <c r="B978" t="s">
        <v>161</v>
      </c>
      <c r="C978" t="s">
        <v>126</v>
      </c>
      <c r="D978" t="s">
        <v>29</v>
      </c>
      <c r="E978" s="3">
        <v>2</v>
      </c>
      <c r="F978" s="3">
        <v>2.08</v>
      </c>
      <c r="G978">
        <v>2.0499999999999998</v>
      </c>
      <c r="H978" s="3">
        <v>4.0999999999999996</v>
      </c>
      <c r="I978">
        <v>167</v>
      </c>
      <c r="J978">
        <v>8</v>
      </c>
      <c r="K978">
        <v>27</v>
      </c>
      <c r="L978" s="13">
        <f>(Table2[[#This Row],[STARTING INVENTORY]]-Table2[[#This Row],[ENDING INVENTORY]])/(Table2[[#This Row],[STARTING INVENTORY]])</f>
        <v>0.83832335329341312</v>
      </c>
      <c r="M978">
        <f>Table2[[#This Row],[STARTING INVENTORY]]-Table2[[#This Row],[ENDING INVENTORY]]</f>
        <v>140</v>
      </c>
    </row>
    <row r="979" spans="1:13">
      <c r="A979" t="s">
        <v>13</v>
      </c>
      <c r="B979" t="s">
        <v>161</v>
      </c>
      <c r="C979" t="s">
        <v>132</v>
      </c>
      <c r="D979" t="s">
        <v>29</v>
      </c>
      <c r="E979" s="3">
        <v>0.45</v>
      </c>
      <c r="F979" s="3">
        <v>0.46800000000000003</v>
      </c>
      <c r="G979">
        <v>2.04</v>
      </c>
      <c r="H979" s="3">
        <v>0.91800000000000004</v>
      </c>
      <c r="I979">
        <v>162</v>
      </c>
      <c r="J979">
        <v>5</v>
      </c>
      <c r="K979">
        <v>21</v>
      </c>
      <c r="L979" s="13">
        <f>(Table2[[#This Row],[STARTING INVENTORY]]-Table2[[#This Row],[ENDING INVENTORY]])/(Table2[[#This Row],[STARTING INVENTORY]])</f>
        <v>0.87037037037037035</v>
      </c>
      <c r="M979">
        <f>Table2[[#This Row],[STARTING INVENTORY]]-Table2[[#This Row],[ENDING INVENTORY]]</f>
        <v>141</v>
      </c>
    </row>
    <row r="980" spans="1:13">
      <c r="A980" t="s">
        <v>13</v>
      </c>
      <c r="B980" t="s">
        <v>161</v>
      </c>
      <c r="C980" t="s">
        <v>138</v>
      </c>
      <c r="D980" t="s">
        <v>33</v>
      </c>
      <c r="E980" s="3">
        <v>1.9</v>
      </c>
      <c r="F980" s="3">
        <v>1.976</v>
      </c>
      <c r="G980">
        <v>2.09</v>
      </c>
      <c r="H980" s="3">
        <v>3.9709999999999996</v>
      </c>
      <c r="I980">
        <v>143</v>
      </c>
      <c r="J980">
        <v>1</v>
      </c>
      <c r="K980">
        <v>16</v>
      </c>
      <c r="L980" s="13">
        <f>(Table2[[#This Row],[STARTING INVENTORY]]-Table2[[#This Row],[ENDING INVENTORY]])/(Table2[[#This Row],[STARTING INVENTORY]])</f>
        <v>0.88811188811188813</v>
      </c>
      <c r="M980">
        <f>Table2[[#This Row],[STARTING INVENTORY]]-Table2[[#This Row],[ENDING INVENTORY]]</f>
        <v>127</v>
      </c>
    </row>
    <row r="981" spans="1:13">
      <c r="A981" t="s">
        <v>13</v>
      </c>
      <c r="B981" t="s">
        <v>161</v>
      </c>
      <c r="C981" t="s">
        <v>144</v>
      </c>
      <c r="D981" t="s">
        <v>33</v>
      </c>
      <c r="E981" s="3">
        <v>4</v>
      </c>
      <c r="F981" s="3">
        <v>4.16</v>
      </c>
      <c r="G981">
        <v>2.0499999999999998</v>
      </c>
      <c r="H981" s="3">
        <v>8.1999999999999993</v>
      </c>
      <c r="I981">
        <v>111</v>
      </c>
      <c r="J981">
        <v>1</v>
      </c>
      <c r="K981">
        <v>58</v>
      </c>
      <c r="L981" s="13">
        <f>(Table2[[#This Row],[STARTING INVENTORY]]-Table2[[#This Row],[ENDING INVENTORY]])/(Table2[[#This Row],[STARTING INVENTORY]])</f>
        <v>0.47747747747747749</v>
      </c>
      <c r="M981">
        <f>Table2[[#This Row],[STARTING INVENTORY]]-Table2[[#This Row],[ENDING INVENTORY]]</f>
        <v>53</v>
      </c>
    </row>
    <row r="982" spans="1:13">
      <c r="A982" t="s">
        <v>13</v>
      </c>
      <c r="B982" t="s">
        <v>162</v>
      </c>
      <c r="C982" t="s">
        <v>30</v>
      </c>
      <c r="D982" t="s">
        <v>29</v>
      </c>
      <c r="E982" s="3">
        <v>2.85</v>
      </c>
      <c r="F982" s="3">
        <v>2.9640000000000004</v>
      </c>
      <c r="G982">
        <v>2.08</v>
      </c>
      <c r="H982" s="3">
        <v>5.9280000000000008</v>
      </c>
      <c r="I982">
        <v>76</v>
      </c>
      <c r="J982">
        <v>2</v>
      </c>
      <c r="K982">
        <v>70</v>
      </c>
      <c r="L982" s="13">
        <f>(Table2[[#This Row],[STARTING INVENTORY]]-Table2[[#This Row],[ENDING INVENTORY]])/(Table2[[#This Row],[STARTING INVENTORY]])</f>
        <v>7.8947368421052627E-2</v>
      </c>
      <c r="M982">
        <f>Table2[[#This Row],[STARTING INVENTORY]]-Table2[[#This Row],[ENDING INVENTORY]]</f>
        <v>6</v>
      </c>
    </row>
    <row r="983" spans="1:13">
      <c r="A983" t="s">
        <v>13</v>
      </c>
      <c r="B983" t="s">
        <v>162</v>
      </c>
      <c r="C983" t="s">
        <v>37</v>
      </c>
      <c r="D983" t="s">
        <v>29</v>
      </c>
      <c r="E983" s="3">
        <v>2.5</v>
      </c>
      <c r="F983" s="3">
        <v>2.6</v>
      </c>
      <c r="G983">
        <v>1.98</v>
      </c>
      <c r="H983" s="3">
        <v>4.95</v>
      </c>
      <c r="I983">
        <v>85</v>
      </c>
      <c r="J983">
        <v>5</v>
      </c>
      <c r="K983">
        <v>56</v>
      </c>
      <c r="L983" s="13">
        <f>(Table2[[#This Row],[STARTING INVENTORY]]-Table2[[#This Row],[ENDING INVENTORY]])/(Table2[[#This Row],[STARTING INVENTORY]])</f>
        <v>0.3411764705882353</v>
      </c>
      <c r="M983">
        <f>Table2[[#This Row],[STARTING INVENTORY]]-Table2[[#This Row],[ENDING INVENTORY]]</f>
        <v>29</v>
      </c>
    </row>
    <row r="984" spans="1:13">
      <c r="A984" t="s">
        <v>13</v>
      </c>
      <c r="B984" t="s">
        <v>162</v>
      </c>
      <c r="C984" t="s">
        <v>43</v>
      </c>
      <c r="D984" t="s">
        <v>29</v>
      </c>
      <c r="E984" s="3">
        <v>2.1</v>
      </c>
      <c r="F984" s="3">
        <v>2.1840000000000002</v>
      </c>
      <c r="G984">
        <v>2.0300000000000002</v>
      </c>
      <c r="H984" s="3">
        <v>4.2630000000000008</v>
      </c>
      <c r="I984">
        <v>98</v>
      </c>
      <c r="J984">
        <v>0</v>
      </c>
      <c r="K984">
        <v>25</v>
      </c>
      <c r="L984" s="13">
        <f>(Table2[[#This Row],[STARTING INVENTORY]]-Table2[[#This Row],[ENDING INVENTORY]])/(Table2[[#This Row],[STARTING INVENTORY]])</f>
        <v>0.74489795918367352</v>
      </c>
      <c r="M984">
        <f>Table2[[#This Row],[STARTING INVENTORY]]-Table2[[#This Row],[ENDING INVENTORY]]</f>
        <v>73</v>
      </c>
    </row>
    <row r="985" spans="1:13">
      <c r="A985" t="s">
        <v>13</v>
      </c>
      <c r="B985" t="s">
        <v>162</v>
      </c>
      <c r="C985" t="s">
        <v>49</v>
      </c>
      <c r="D985" t="s">
        <v>29</v>
      </c>
      <c r="E985" s="3">
        <v>1</v>
      </c>
      <c r="F985" s="3">
        <v>1.04</v>
      </c>
      <c r="G985">
        <v>2.0700000000000003</v>
      </c>
      <c r="H985" s="3">
        <v>2.0700000000000003</v>
      </c>
      <c r="I985">
        <v>94</v>
      </c>
      <c r="J985">
        <v>1</v>
      </c>
      <c r="K985">
        <v>24</v>
      </c>
      <c r="L985" s="13">
        <f>(Table2[[#This Row],[STARTING INVENTORY]]-Table2[[#This Row],[ENDING INVENTORY]])/(Table2[[#This Row],[STARTING INVENTORY]])</f>
        <v>0.74468085106382975</v>
      </c>
      <c r="M985">
        <f>Table2[[#This Row],[STARTING INVENTORY]]-Table2[[#This Row],[ENDING INVENTORY]]</f>
        <v>70</v>
      </c>
    </row>
    <row r="986" spans="1:13">
      <c r="A986" t="s">
        <v>13</v>
      </c>
      <c r="B986" t="s">
        <v>162</v>
      </c>
      <c r="C986" t="s">
        <v>55</v>
      </c>
      <c r="D986" t="s">
        <v>29</v>
      </c>
      <c r="E986" s="3">
        <v>0.9</v>
      </c>
      <c r="F986" s="3">
        <v>0.93600000000000005</v>
      </c>
      <c r="G986">
        <v>1.99</v>
      </c>
      <c r="H986" s="3">
        <v>1.7909999999999999</v>
      </c>
      <c r="I986">
        <v>27</v>
      </c>
      <c r="J986">
        <v>0</v>
      </c>
      <c r="K986">
        <v>9</v>
      </c>
      <c r="L986" s="13">
        <f>(Table2[[#This Row],[STARTING INVENTORY]]-Table2[[#This Row],[ENDING INVENTORY]])/(Table2[[#This Row],[STARTING INVENTORY]])</f>
        <v>0.66666666666666663</v>
      </c>
      <c r="M986">
        <f>Table2[[#This Row],[STARTING INVENTORY]]-Table2[[#This Row],[ENDING INVENTORY]]</f>
        <v>18</v>
      </c>
    </row>
    <row r="987" spans="1:13">
      <c r="A987" t="s">
        <v>13</v>
      </c>
      <c r="B987" t="s">
        <v>162</v>
      </c>
      <c r="C987" t="s">
        <v>61</v>
      </c>
      <c r="D987" t="s">
        <v>29</v>
      </c>
      <c r="E987" s="3">
        <v>1.9</v>
      </c>
      <c r="F987" s="3">
        <v>1.976</v>
      </c>
      <c r="G987">
        <v>2.0099999999999998</v>
      </c>
      <c r="H987" s="3">
        <v>3.8189999999999995</v>
      </c>
      <c r="I987">
        <v>45</v>
      </c>
      <c r="J987">
        <v>2</v>
      </c>
      <c r="K987">
        <v>18</v>
      </c>
      <c r="L987" s="13">
        <f>(Table2[[#This Row],[STARTING INVENTORY]]-Table2[[#This Row],[ENDING INVENTORY]])/(Table2[[#This Row],[STARTING INVENTORY]])</f>
        <v>0.6</v>
      </c>
      <c r="M987">
        <f>Table2[[#This Row],[STARTING INVENTORY]]-Table2[[#This Row],[ENDING INVENTORY]]</f>
        <v>27</v>
      </c>
    </row>
    <row r="988" spans="1:13">
      <c r="A988" t="s">
        <v>13</v>
      </c>
      <c r="B988" t="s">
        <v>162</v>
      </c>
      <c r="C988" t="s">
        <v>67</v>
      </c>
      <c r="D988" t="s">
        <v>29</v>
      </c>
      <c r="E988" s="3">
        <v>1.3</v>
      </c>
      <c r="F988" s="3">
        <v>1.3520000000000001</v>
      </c>
      <c r="G988">
        <v>2</v>
      </c>
      <c r="H988" s="3">
        <v>2.6</v>
      </c>
      <c r="I988">
        <v>70</v>
      </c>
      <c r="J988">
        <v>6</v>
      </c>
      <c r="K988">
        <v>10</v>
      </c>
      <c r="L988" s="13">
        <f>(Table2[[#This Row],[STARTING INVENTORY]]-Table2[[#This Row],[ENDING INVENTORY]])/(Table2[[#This Row],[STARTING INVENTORY]])</f>
        <v>0.8571428571428571</v>
      </c>
      <c r="M988">
        <f>Table2[[#This Row],[STARTING INVENTORY]]-Table2[[#This Row],[ENDING INVENTORY]]</f>
        <v>60</v>
      </c>
    </row>
    <row r="989" spans="1:13">
      <c r="A989" t="s">
        <v>13</v>
      </c>
      <c r="B989" t="s">
        <v>162</v>
      </c>
      <c r="C989" t="s">
        <v>73</v>
      </c>
      <c r="D989" t="s">
        <v>29</v>
      </c>
      <c r="E989" s="3">
        <v>4</v>
      </c>
      <c r="F989" s="3">
        <v>4.16</v>
      </c>
      <c r="G989">
        <v>1.97</v>
      </c>
      <c r="H989" s="3">
        <v>7.88</v>
      </c>
      <c r="I989">
        <v>64</v>
      </c>
      <c r="J989">
        <v>5</v>
      </c>
      <c r="K989">
        <v>12</v>
      </c>
      <c r="L989" s="13">
        <f>(Table2[[#This Row],[STARTING INVENTORY]]-Table2[[#This Row],[ENDING INVENTORY]])/(Table2[[#This Row],[STARTING INVENTORY]])</f>
        <v>0.8125</v>
      </c>
      <c r="M989">
        <f>Table2[[#This Row],[STARTING INVENTORY]]-Table2[[#This Row],[ENDING INVENTORY]]</f>
        <v>52</v>
      </c>
    </row>
    <row r="990" spans="1:13">
      <c r="A990" t="s">
        <v>13</v>
      </c>
      <c r="B990" t="s">
        <v>162</v>
      </c>
      <c r="C990" t="s">
        <v>79</v>
      </c>
      <c r="D990" t="s">
        <v>29</v>
      </c>
      <c r="E990" s="3">
        <v>2.2000000000000002</v>
      </c>
      <c r="F990" s="3">
        <v>2.2880000000000003</v>
      </c>
      <c r="G990">
        <v>2.0300000000000002</v>
      </c>
      <c r="H990" s="3">
        <v>4.4660000000000011</v>
      </c>
      <c r="I990">
        <v>63</v>
      </c>
      <c r="J990">
        <v>0</v>
      </c>
      <c r="K990">
        <v>52</v>
      </c>
      <c r="L990" s="13">
        <f>(Table2[[#This Row],[STARTING INVENTORY]]-Table2[[#This Row],[ENDING INVENTORY]])/(Table2[[#This Row],[STARTING INVENTORY]])</f>
        <v>0.17460317460317459</v>
      </c>
      <c r="M990">
        <f>Table2[[#This Row],[STARTING INVENTORY]]-Table2[[#This Row],[ENDING INVENTORY]]</f>
        <v>11</v>
      </c>
    </row>
    <row r="991" spans="1:13">
      <c r="A991" t="s">
        <v>13</v>
      </c>
      <c r="B991" t="s">
        <v>162</v>
      </c>
      <c r="C991" t="s">
        <v>85</v>
      </c>
      <c r="D991" t="s">
        <v>29</v>
      </c>
      <c r="E991" s="3">
        <v>2.75</v>
      </c>
      <c r="F991" s="3">
        <v>2.8600000000000003</v>
      </c>
      <c r="G991">
        <v>1.96</v>
      </c>
      <c r="H991" s="3">
        <v>5.39</v>
      </c>
      <c r="I991">
        <v>24</v>
      </c>
      <c r="J991">
        <v>9</v>
      </c>
      <c r="K991">
        <v>7</v>
      </c>
      <c r="L991" s="13">
        <f>(Table2[[#This Row],[STARTING INVENTORY]]-Table2[[#This Row],[ENDING INVENTORY]])/(Table2[[#This Row],[STARTING INVENTORY]])</f>
        <v>0.70833333333333337</v>
      </c>
      <c r="M991">
        <f>Table2[[#This Row],[STARTING INVENTORY]]-Table2[[#This Row],[ENDING INVENTORY]]</f>
        <v>17</v>
      </c>
    </row>
    <row r="992" spans="1:13">
      <c r="A992" t="s">
        <v>13</v>
      </c>
      <c r="B992" t="s">
        <v>162</v>
      </c>
      <c r="C992" t="s">
        <v>91</v>
      </c>
      <c r="D992" t="s">
        <v>29</v>
      </c>
      <c r="E992" s="3">
        <v>3.5</v>
      </c>
      <c r="F992" s="3">
        <v>3.64</v>
      </c>
      <c r="G992">
        <v>1.99</v>
      </c>
      <c r="H992" s="3">
        <v>6.9649999999999999</v>
      </c>
      <c r="I992">
        <v>89</v>
      </c>
      <c r="J992">
        <v>3</v>
      </c>
      <c r="K992">
        <v>67</v>
      </c>
      <c r="L992" s="13">
        <f>(Table2[[#This Row],[STARTING INVENTORY]]-Table2[[#This Row],[ENDING INVENTORY]])/(Table2[[#This Row],[STARTING INVENTORY]])</f>
        <v>0.24719101123595505</v>
      </c>
      <c r="M992">
        <f>Table2[[#This Row],[STARTING INVENTORY]]-Table2[[#This Row],[ENDING INVENTORY]]</f>
        <v>22</v>
      </c>
    </row>
    <row r="993" spans="1:13">
      <c r="A993" t="s">
        <v>13</v>
      </c>
      <c r="B993" t="s">
        <v>162</v>
      </c>
      <c r="C993" t="s">
        <v>97</v>
      </c>
      <c r="D993" t="s">
        <v>29</v>
      </c>
      <c r="E993" s="3">
        <v>8</v>
      </c>
      <c r="F993" s="3">
        <v>8.32</v>
      </c>
      <c r="G993">
        <v>2.02</v>
      </c>
      <c r="H993" s="3">
        <v>16.16</v>
      </c>
      <c r="I993">
        <v>45</v>
      </c>
      <c r="J993">
        <v>0</v>
      </c>
      <c r="K993">
        <v>30</v>
      </c>
      <c r="L993" s="13">
        <f>(Table2[[#This Row],[STARTING INVENTORY]]-Table2[[#This Row],[ENDING INVENTORY]])/(Table2[[#This Row],[STARTING INVENTORY]])</f>
        <v>0.33333333333333331</v>
      </c>
      <c r="M993">
        <f>Table2[[#This Row],[STARTING INVENTORY]]-Table2[[#This Row],[ENDING INVENTORY]]</f>
        <v>15</v>
      </c>
    </row>
    <row r="994" spans="1:13">
      <c r="A994" t="s">
        <v>13</v>
      </c>
      <c r="B994" t="s">
        <v>162</v>
      </c>
      <c r="C994" t="s">
        <v>103</v>
      </c>
      <c r="D994" t="s">
        <v>29</v>
      </c>
      <c r="E994" s="3">
        <v>7</v>
      </c>
      <c r="F994" s="3">
        <v>7.28</v>
      </c>
      <c r="G994">
        <v>2.0300000000000002</v>
      </c>
      <c r="H994" s="3">
        <v>14.21</v>
      </c>
      <c r="I994">
        <v>87</v>
      </c>
      <c r="J994">
        <v>1</v>
      </c>
      <c r="K994">
        <v>27</v>
      </c>
      <c r="L994" s="13">
        <f>(Table2[[#This Row],[STARTING INVENTORY]]-Table2[[#This Row],[ENDING INVENTORY]])/(Table2[[#This Row],[STARTING INVENTORY]])</f>
        <v>0.68965517241379315</v>
      </c>
      <c r="M994">
        <f>Table2[[#This Row],[STARTING INVENTORY]]-Table2[[#This Row],[ENDING INVENTORY]]</f>
        <v>60</v>
      </c>
    </row>
    <row r="995" spans="1:13">
      <c r="A995" t="s">
        <v>13</v>
      </c>
      <c r="B995" t="s">
        <v>162</v>
      </c>
      <c r="C995" t="s">
        <v>109</v>
      </c>
      <c r="D995" t="s">
        <v>29</v>
      </c>
      <c r="E995" s="3">
        <v>1.8</v>
      </c>
      <c r="F995" s="3">
        <v>1.8720000000000001</v>
      </c>
      <c r="G995">
        <v>1.97</v>
      </c>
      <c r="H995" s="3">
        <v>3.5459999999999998</v>
      </c>
      <c r="I995">
        <v>38</v>
      </c>
      <c r="J995">
        <v>1</v>
      </c>
      <c r="K995">
        <v>10</v>
      </c>
      <c r="L995" s="13">
        <f>(Table2[[#This Row],[STARTING INVENTORY]]-Table2[[#This Row],[ENDING INVENTORY]])/(Table2[[#This Row],[STARTING INVENTORY]])</f>
        <v>0.73684210526315785</v>
      </c>
      <c r="M995">
        <f>Table2[[#This Row],[STARTING INVENTORY]]-Table2[[#This Row],[ENDING INVENTORY]]</f>
        <v>28</v>
      </c>
    </row>
    <row r="996" spans="1:13">
      <c r="A996" t="s">
        <v>13</v>
      </c>
      <c r="B996" t="s">
        <v>162</v>
      </c>
      <c r="C996" t="s">
        <v>115</v>
      </c>
      <c r="D996" t="s">
        <v>29</v>
      </c>
      <c r="E996" s="3">
        <v>9</v>
      </c>
      <c r="F996" s="3">
        <v>9.36</v>
      </c>
      <c r="G996">
        <v>1.98</v>
      </c>
      <c r="H996" s="3">
        <v>17.82</v>
      </c>
      <c r="I996">
        <v>39</v>
      </c>
      <c r="J996">
        <v>0</v>
      </c>
      <c r="K996">
        <v>0</v>
      </c>
      <c r="L996" s="13">
        <f>(Table2[[#This Row],[STARTING INVENTORY]]-Table2[[#This Row],[ENDING INVENTORY]])/(Table2[[#This Row],[STARTING INVENTORY]])</f>
        <v>1</v>
      </c>
      <c r="M996">
        <f>Table2[[#This Row],[STARTING INVENTORY]]-Table2[[#This Row],[ENDING INVENTORY]]</f>
        <v>39</v>
      </c>
    </row>
    <row r="997" spans="1:13">
      <c r="A997" t="s">
        <v>13</v>
      </c>
      <c r="B997" t="s">
        <v>162</v>
      </c>
      <c r="C997" t="s">
        <v>121</v>
      </c>
      <c r="D997" t="s">
        <v>29</v>
      </c>
      <c r="E997" s="3">
        <v>0.95</v>
      </c>
      <c r="F997" s="3">
        <v>0.98799999999999999</v>
      </c>
      <c r="G997">
        <v>2.0700000000000003</v>
      </c>
      <c r="H997" s="3">
        <v>1.9665000000000001</v>
      </c>
      <c r="I997">
        <v>31</v>
      </c>
      <c r="J997">
        <v>8</v>
      </c>
      <c r="K997">
        <v>16</v>
      </c>
      <c r="L997" s="13">
        <f>(Table2[[#This Row],[STARTING INVENTORY]]-Table2[[#This Row],[ENDING INVENTORY]])/(Table2[[#This Row],[STARTING INVENTORY]])</f>
        <v>0.4838709677419355</v>
      </c>
      <c r="M997">
        <f>Table2[[#This Row],[STARTING INVENTORY]]-Table2[[#This Row],[ENDING INVENTORY]]</f>
        <v>15</v>
      </c>
    </row>
    <row r="998" spans="1:13">
      <c r="A998" t="s">
        <v>13</v>
      </c>
      <c r="B998" t="s">
        <v>162</v>
      </c>
      <c r="C998" t="s">
        <v>127</v>
      </c>
      <c r="D998" t="s">
        <v>29</v>
      </c>
      <c r="E998" s="3">
        <v>1.85</v>
      </c>
      <c r="F998" s="3">
        <v>1.9240000000000002</v>
      </c>
      <c r="G998">
        <v>1.98</v>
      </c>
      <c r="H998" s="3">
        <v>3.6630000000000003</v>
      </c>
      <c r="I998">
        <v>66</v>
      </c>
      <c r="J998">
        <v>2</v>
      </c>
      <c r="K998">
        <v>46</v>
      </c>
      <c r="L998" s="13">
        <f>(Table2[[#This Row],[STARTING INVENTORY]]-Table2[[#This Row],[ENDING INVENTORY]])/(Table2[[#This Row],[STARTING INVENTORY]])</f>
        <v>0.30303030303030304</v>
      </c>
      <c r="M998">
        <f>Table2[[#This Row],[STARTING INVENTORY]]-Table2[[#This Row],[ENDING INVENTORY]]</f>
        <v>20</v>
      </c>
    </row>
    <row r="999" spans="1:13">
      <c r="A999" t="s">
        <v>13</v>
      </c>
      <c r="B999" t="s">
        <v>162</v>
      </c>
      <c r="C999" t="s">
        <v>133</v>
      </c>
      <c r="D999" t="s">
        <v>29</v>
      </c>
      <c r="E999" s="3">
        <v>5.5</v>
      </c>
      <c r="F999" s="3">
        <v>5.7200000000000006</v>
      </c>
      <c r="G999">
        <v>2.1</v>
      </c>
      <c r="H999" s="3">
        <v>11.55</v>
      </c>
      <c r="I999">
        <v>20</v>
      </c>
      <c r="J999">
        <v>6</v>
      </c>
      <c r="K999">
        <v>3</v>
      </c>
      <c r="L999" s="13">
        <f>(Table2[[#This Row],[STARTING INVENTORY]]-Table2[[#This Row],[ENDING INVENTORY]])/(Table2[[#This Row],[STARTING INVENTORY]])</f>
        <v>0.85</v>
      </c>
      <c r="M999">
        <f>Table2[[#This Row],[STARTING INVENTORY]]-Table2[[#This Row],[ENDING INVENTORY]]</f>
        <v>17</v>
      </c>
    </row>
    <row r="1000" spans="1:13">
      <c r="A1000" t="s">
        <v>13</v>
      </c>
      <c r="B1000" t="s">
        <v>162</v>
      </c>
      <c r="C1000" t="s">
        <v>139</v>
      </c>
      <c r="D1000" t="s">
        <v>29</v>
      </c>
      <c r="E1000" s="3">
        <v>1.9</v>
      </c>
      <c r="F1000" s="3">
        <v>1.976</v>
      </c>
      <c r="G1000">
        <v>2.0099999999999998</v>
      </c>
      <c r="H1000" s="3">
        <v>3.8189999999999995</v>
      </c>
      <c r="I1000">
        <v>33</v>
      </c>
      <c r="J1000">
        <v>1</v>
      </c>
      <c r="K1000">
        <v>23</v>
      </c>
      <c r="L1000" s="13">
        <f>(Table2[[#This Row],[STARTING INVENTORY]]-Table2[[#This Row],[ENDING INVENTORY]])/(Table2[[#This Row],[STARTING INVENTORY]])</f>
        <v>0.30303030303030304</v>
      </c>
      <c r="M1000">
        <f>Table2[[#This Row],[STARTING INVENTORY]]-Table2[[#This Row],[ENDING INVENTORY]]</f>
        <v>10</v>
      </c>
    </row>
    <row r="1001" spans="1:13">
      <c r="A1001" t="s">
        <v>13</v>
      </c>
      <c r="B1001" t="s">
        <v>162</v>
      </c>
      <c r="C1001" t="s">
        <v>145</v>
      </c>
      <c r="D1001" t="s">
        <v>29</v>
      </c>
      <c r="E1001" s="3">
        <v>2.75</v>
      </c>
      <c r="F1001" s="3">
        <v>2.8600000000000003</v>
      </c>
      <c r="G1001">
        <v>2.0499999999999998</v>
      </c>
      <c r="H1001" s="3">
        <v>5.6374999999999993</v>
      </c>
      <c r="I1001">
        <v>83</v>
      </c>
      <c r="J1001">
        <v>0</v>
      </c>
      <c r="K1001">
        <v>53</v>
      </c>
      <c r="L1001" s="13">
        <f>(Table2[[#This Row],[STARTING INVENTORY]]-Table2[[#This Row],[ENDING INVENTORY]])/(Table2[[#This Row],[STARTING INVENTORY]])</f>
        <v>0.36144578313253012</v>
      </c>
      <c r="M1001">
        <f>Table2[[#This Row],[STARTING INVENTORY]]-Table2[[#This Row],[ENDING INVENTORY]]</f>
        <v>30</v>
      </c>
    </row>
    <row r="1002" spans="1:13">
      <c r="A1002" t="s">
        <v>13</v>
      </c>
      <c r="B1002" t="s">
        <v>163</v>
      </c>
      <c r="C1002" t="s">
        <v>32</v>
      </c>
      <c r="D1002" t="s">
        <v>33</v>
      </c>
      <c r="E1002" s="3">
        <v>3.25</v>
      </c>
      <c r="F1002" s="3">
        <v>3.38</v>
      </c>
      <c r="G1002">
        <v>2.0099999999999998</v>
      </c>
      <c r="H1002" s="3">
        <v>6.5324999999999989</v>
      </c>
      <c r="I1002">
        <v>87</v>
      </c>
      <c r="J1002">
        <v>2</v>
      </c>
      <c r="K1002">
        <v>59</v>
      </c>
      <c r="L1002" s="13">
        <f>(Table2[[#This Row],[STARTING INVENTORY]]-Table2[[#This Row],[ENDING INVENTORY]])/(Table2[[#This Row],[STARTING INVENTORY]])</f>
        <v>0.32183908045977011</v>
      </c>
      <c r="M1002">
        <f>Table2[[#This Row],[STARTING INVENTORY]]-Table2[[#This Row],[ENDING INVENTORY]]</f>
        <v>28</v>
      </c>
    </row>
    <row r="1003" spans="1:13">
      <c r="A1003" t="s">
        <v>13</v>
      </c>
      <c r="B1003" t="s">
        <v>163</v>
      </c>
      <c r="C1003" t="s">
        <v>39</v>
      </c>
      <c r="D1003" t="s">
        <v>33</v>
      </c>
      <c r="E1003" s="3">
        <v>0.9</v>
      </c>
      <c r="F1003" s="3">
        <v>0.93600000000000005</v>
      </c>
      <c r="G1003">
        <v>2.08</v>
      </c>
      <c r="H1003" s="3">
        <v>1.8720000000000001</v>
      </c>
      <c r="I1003">
        <v>86</v>
      </c>
      <c r="J1003">
        <v>0</v>
      </c>
      <c r="K1003">
        <v>56</v>
      </c>
      <c r="L1003" s="13">
        <f>(Table2[[#This Row],[STARTING INVENTORY]]-Table2[[#This Row],[ENDING INVENTORY]])/(Table2[[#This Row],[STARTING INVENTORY]])</f>
        <v>0.34883720930232559</v>
      </c>
      <c r="M1003">
        <f>Table2[[#This Row],[STARTING INVENTORY]]-Table2[[#This Row],[ENDING INVENTORY]]</f>
        <v>30</v>
      </c>
    </row>
    <row r="1004" spans="1:13">
      <c r="A1004" t="s">
        <v>13</v>
      </c>
      <c r="B1004" t="s">
        <v>163</v>
      </c>
      <c r="C1004" t="s">
        <v>45</v>
      </c>
      <c r="D1004" t="s">
        <v>33</v>
      </c>
      <c r="E1004" s="3">
        <v>1.6</v>
      </c>
      <c r="F1004" s="3">
        <v>1.6640000000000001</v>
      </c>
      <c r="G1004">
        <v>2.1</v>
      </c>
      <c r="H1004" s="3">
        <v>3.3600000000000003</v>
      </c>
      <c r="I1004">
        <v>60</v>
      </c>
      <c r="J1004">
        <v>2</v>
      </c>
      <c r="K1004">
        <v>46</v>
      </c>
      <c r="L1004" s="13">
        <f>(Table2[[#This Row],[STARTING INVENTORY]]-Table2[[#This Row],[ENDING INVENTORY]])/(Table2[[#This Row],[STARTING INVENTORY]])</f>
        <v>0.23333333333333334</v>
      </c>
      <c r="M1004">
        <f>Table2[[#This Row],[STARTING INVENTORY]]-Table2[[#This Row],[ENDING INVENTORY]]</f>
        <v>14</v>
      </c>
    </row>
    <row r="1005" spans="1:13">
      <c r="A1005" t="s">
        <v>13</v>
      </c>
      <c r="B1005" t="s">
        <v>163</v>
      </c>
      <c r="C1005" t="s">
        <v>51</v>
      </c>
      <c r="D1005" t="s">
        <v>33</v>
      </c>
      <c r="E1005" s="3">
        <v>1.1000000000000001</v>
      </c>
      <c r="F1005" s="3">
        <v>1.1440000000000001</v>
      </c>
      <c r="G1005">
        <v>2</v>
      </c>
      <c r="H1005" s="3">
        <v>2.2000000000000002</v>
      </c>
      <c r="I1005">
        <v>149</v>
      </c>
      <c r="J1005">
        <v>7</v>
      </c>
      <c r="K1005">
        <v>25</v>
      </c>
      <c r="L1005" s="13">
        <f>(Table2[[#This Row],[STARTING INVENTORY]]-Table2[[#This Row],[ENDING INVENTORY]])/(Table2[[#This Row],[STARTING INVENTORY]])</f>
        <v>0.83221476510067116</v>
      </c>
      <c r="M1005">
        <f>Table2[[#This Row],[STARTING INVENTORY]]-Table2[[#This Row],[ENDING INVENTORY]]</f>
        <v>124</v>
      </c>
    </row>
    <row r="1006" spans="1:13">
      <c r="A1006" t="s">
        <v>13</v>
      </c>
      <c r="B1006" t="s">
        <v>163</v>
      </c>
      <c r="C1006" t="s">
        <v>57</v>
      </c>
      <c r="D1006" t="s">
        <v>33</v>
      </c>
      <c r="E1006" s="3">
        <v>0.95</v>
      </c>
      <c r="F1006" s="3">
        <v>0.98799999999999999</v>
      </c>
      <c r="G1006">
        <v>2.09</v>
      </c>
      <c r="H1006" s="3">
        <v>1.9854999999999998</v>
      </c>
      <c r="I1006">
        <v>126</v>
      </c>
      <c r="J1006">
        <v>2</v>
      </c>
      <c r="K1006">
        <v>112</v>
      </c>
      <c r="L1006" s="13">
        <f>(Table2[[#This Row],[STARTING INVENTORY]]-Table2[[#This Row],[ENDING INVENTORY]])/(Table2[[#This Row],[STARTING INVENTORY]])</f>
        <v>0.1111111111111111</v>
      </c>
      <c r="M1006">
        <f>Table2[[#This Row],[STARTING INVENTORY]]-Table2[[#This Row],[ENDING INVENTORY]]</f>
        <v>14</v>
      </c>
    </row>
    <row r="1007" spans="1:13">
      <c r="A1007" t="s">
        <v>13</v>
      </c>
      <c r="B1007" t="s">
        <v>163</v>
      </c>
      <c r="C1007" t="s">
        <v>63</v>
      </c>
      <c r="D1007" t="s">
        <v>33</v>
      </c>
      <c r="E1007" s="3">
        <v>2.75</v>
      </c>
      <c r="F1007" s="3">
        <v>2.8600000000000003</v>
      </c>
      <c r="G1007">
        <v>2.0300000000000002</v>
      </c>
      <c r="H1007" s="3">
        <v>5.5825000000000005</v>
      </c>
      <c r="I1007">
        <v>156</v>
      </c>
      <c r="J1007">
        <v>3</v>
      </c>
      <c r="K1007">
        <v>113</v>
      </c>
      <c r="L1007" s="13">
        <f>(Table2[[#This Row],[STARTING INVENTORY]]-Table2[[#This Row],[ENDING INVENTORY]])/(Table2[[#This Row],[STARTING INVENTORY]])</f>
        <v>0.27564102564102566</v>
      </c>
      <c r="M1007">
        <f>Table2[[#This Row],[STARTING INVENTORY]]-Table2[[#This Row],[ENDING INVENTORY]]</f>
        <v>43</v>
      </c>
    </row>
    <row r="1008" spans="1:13">
      <c r="A1008" t="s">
        <v>13</v>
      </c>
      <c r="B1008" t="s">
        <v>163</v>
      </c>
      <c r="C1008" t="s">
        <v>69</v>
      </c>
      <c r="D1008" t="s">
        <v>33</v>
      </c>
      <c r="E1008" s="3">
        <v>1.9</v>
      </c>
      <c r="F1008" s="3">
        <v>1.976</v>
      </c>
      <c r="G1008">
        <v>2.02</v>
      </c>
      <c r="H1008" s="3">
        <v>3.8379999999999996</v>
      </c>
      <c r="I1008">
        <v>52</v>
      </c>
      <c r="J1008">
        <v>0</v>
      </c>
      <c r="K1008">
        <v>4</v>
      </c>
      <c r="L1008" s="13">
        <f>(Table2[[#This Row],[STARTING INVENTORY]]-Table2[[#This Row],[ENDING INVENTORY]])/(Table2[[#This Row],[STARTING INVENTORY]])</f>
        <v>0.92307692307692313</v>
      </c>
      <c r="M1008">
        <f>Table2[[#This Row],[STARTING INVENTORY]]-Table2[[#This Row],[ENDING INVENTORY]]</f>
        <v>48</v>
      </c>
    </row>
    <row r="1009" spans="1:13">
      <c r="A1009" t="s">
        <v>13</v>
      </c>
      <c r="B1009" t="s">
        <v>163</v>
      </c>
      <c r="C1009" t="s">
        <v>75</v>
      </c>
      <c r="D1009" t="s">
        <v>33</v>
      </c>
      <c r="E1009" s="3">
        <v>4</v>
      </c>
      <c r="F1009" s="3">
        <v>4.16</v>
      </c>
      <c r="G1009">
        <v>2.0499999999999998</v>
      </c>
      <c r="H1009" s="3">
        <v>8.1999999999999993</v>
      </c>
      <c r="I1009">
        <v>82</v>
      </c>
      <c r="J1009">
        <v>0</v>
      </c>
      <c r="K1009">
        <v>51</v>
      </c>
      <c r="L1009" s="13">
        <f>(Table2[[#This Row],[STARTING INVENTORY]]-Table2[[#This Row],[ENDING INVENTORY]])/(Table2[[#This Row],[STARTING INVENTORY]])</f>
        <v>0.37804878048780488</v>
      </c>
      <c r="M1009">
        <f>Table2[[#This Row],[STARTING INVENTORY]]-Table2[[#This Row],[ENDING INVENTORY]]</f>
        <v>31</v>
      </c>
    </row>
    <row r="1010" spans="1:13">
      <c r="A1010" t="s">
        <v>13</v>
      </c>
      <c r="B1010" t="s">
        <v>163</v>
      </c>
      <c r="C1010" t="s">
        <v>81</v>
      </c>
      <c r="D1010" t="s">
        <v>33</v>
      </c>
      <c r="E1010" s="3">
        <v>0.8</v>
      </c>
      <c r="F1010" s="3">
        <v>0.83200000000000007</v>
      </c>
      <c r="G1010">
        <v>2</v>
      </c>
      <c r="H1010" s="3">
        <v>1.6</v>
      </c>
      <c r="I1010">
        <v>55</v>
      </c>
      <c r="J1010">
        <v>0</v>
      </c>
      <c r="K1010">
        <v>40</v>
      </c>
      <c r="L1010" s="13">
        <f>(Table2[[#This Row],[STARTING INVENTORY]]-Table2[[#This Row],[ENDING INVENTORY]])/(Table2[[#This Row],[STARTING INVENTORY]])</f>
        <v>0.27272727272727271</v>
      </c>
      <c r="M1010">
        <f>Table2[[#This Row],[STARTING INVENTORY]]-Table2[[#This Row],[ENDING INVENTORY]]</f>
        <v>15</v>
      </c>
    </row>
    <row r="1011" spans="1:13">
      <c r="A1011" t="s">
        <v>13</v>
      </c>
      <c r="B1011" t="s">
        <v>163</v>
      </c>
      <c r="C1011" t="s">
        <v>87</v>
      </c>
      <c r="D1011" t="s">
        <v>33</v>
      </c>
      <c r="E1011" s="3">
        <v>4.25</v>
      </c>
      <c r="F1011" s="3">
        <v>4.42</v>
      </c>
      <c r="G1011">
        <v>2.09</v>
      </c>
      <c r="H1011" s="3">
        <v>8.8825000000000003</v>
      </c>
      <c r="I1011">
        <v>99</v>
      </c>
      <c r="J1011">
        <v>2</v>
      </c>
      <c r="K1011">
        <v>74</v>
      </c>
      <c r="L1011" s="13">
        <f>(Table2[[#This Row],[STARTING INVENTORY]]-Table2[[#This Row],[ENDING INVENTORY]])/(Table2[[#This Row],[STARTING INVENTORY]])</f>
        <v>0.25252525252525254</v>
      </c>
      <c r="M1011">
        <f>Table2[[#This Row],[STARTING INVENTORY]]-Table2[[#This Row],[ENDING INVENTORY]]</f>
        <v>25</v>
      </c>
    </row>
    <row r="1012" spans="1:13">
      <c r="A1012" t="s">
        <v>13</v>
      </c>
      <c r="B1012" t="s">
        <v>163</v>
      </c>
      <c r="C1012" t="s">
        <v>93</v>
      </c>
      <c r="D1012" t="s">
        <v>33</v>
      </c>
      <c r="E1012" s="3">
        <v>1.6</v>
      </c>
      <c r="F1012" s="3">
        <v>1.6640000000000001</v>
      </c>
      <c r="G1012">
        <v>1.96</v>
      </c>
      <c r="H1012" s="3">
        <v>3.1360000000000001</v>
      </c>
      <c r="I1012">
        <v>59</v>
      </c>
      <c r="J1012">
        <v>0</v>
      </c>
      <c r="K1012">
        <v>55</v>
      </c>
      <c r="L1012" s="13">
        <f>(Table2[[#This Row],[STARTING INVENTORY]]-Table2[[#This Row],[ENDING INVENTORY]])/(Table2[[#This Row],[STARTING INVENTORY]])</f>
        <v>6.7796610169491525E-2</v>
      </c>
      <c r="M1012">
        <f>Table2[[#This Row],[STARTING INVENTORY]]-Table2[[#This Row],[ENDING INVENTORY]]</f>
        <v>4</v>
      </c>
    </row>
    <row r="1013" spans="1:13">
      <c r="A1013" t="s">
        <v>13</v>
      </c>
      <c r="B1013" t="s">
        <v>163</v>
      </c>
      <c r="C1013" t="s">
        <v>99</v>
      </c>
      <c r="D1013" t="s">
        <v>33</v>
      </c>
      <c r="E1013" s="3">
        <v>1.65</v>
      </c>
      <c r="F1013" s="3">
        <v>1.716</v>
      </c>
      <c r="G1013">
        <v>1.96</v>
      </c>
      <c r="H1013" s="3">
        <v>3.234</v>
      </c>
      <c r="I1013">
        <v>54</v>
      </c>
      <c r="J1013">
        <v>1</v>
      </c>
      <c r="K1013">
        <v>53</v>
      </c>
      <c r="L1013" s="13">
        <f>(Table2[[#This Row],[STARTING INVENTORY]]-Table2[[#This Row],[ENDING INVENTORY]])/(Table2[[#This Row],[STARTING INVENTORY]])</f>
        <v>1.8518518518518517E-2</v>
      </c>
      <c r="M1013">
        <f>Table2[[#This Row],[STARTING INVENTORY]]-Table2[[#This Row],[ENDING INVENTORY]]</f>
        <v>1</v>
      </c>
    </row>
    <row r="1014" spans="1:13">
      <c r="A1014" t="s">
        <v>13</v>
      </c>
      <c r="B1014" t="s">
        <v>163</v>
      </c>
      <c r="C1014" t="s">
        <v>105</v>
      </c>
      <c r="D1014" t="s">
        <v>33</v>
      </c>
      <c r="E1014" s="3">
        <v>2.2000000000000002</v>
      </c>
      <c r="F1014" s="3">
        <v>2.2880000000000003</v>
      </c>
      <c r="G1014">
        <v>2.0300000000000002</v>
      </c>
      <c r="H1014" s="3">
        <v>4.4660000000000011</v>
      </c>
      <c r="I1014">
        <v>72</v>
      </c>
      <c r="J1014">
        <v>2</v>
      </c>
      <c r="K1014">
        <v>32</v>
      </c>
      <c r="L1014" s="13">
        <f>(Table2[[#This Row],[STARTING INVENTORY]]-Table2[[#This Row],[ENDING INVENTORY]])/(Table2[[#This Row],[STARTING INVENTORY]])</f>
        <v>0.55555555555555558</v>
      </c>
      <c r="M1014">
        <f>Table2[[#This Row],[STARTING INVENTORY]]-Table2[[#This Row],[ENDING INVENTORY]]</f>
        <v>40</v>
      </c>
    </row>
    <row r="1015" spans="1:13">
      <c r="A1015" t="s">
        <v>13</v>
      </c>
      <c r="B1015" t="s">
        <v>163</v>
      </c>
      <c r="C1015" t="s">
        <v>111</v>
      </c>
      <c r="D1015" t="s">
        <v>33</v>
      </c>
      <c r="E1015" s="3">
        <v>4</v>
      </c>
      <c r="F1015" s="3">
        <v>4.16</v>
      </c>
      <c r="G1015">
        <v>1.96</v>
      </c>
      <c r="H1015" s="3">
        <v>7.84</v>
      </c>
      <c r="I1015">
        <v>59</v>
      </c>
      <c r="J1015">
        <v>1</v>
      </c>
      <c r="K1015">
        <v>49</v>
      </c>
      <c r="L1015" s="13">
        <f>(Table2[[#This Row],[STARTING INVENTORY]]-Table2[[#This Row],[ENDING INVENTORY]])/(Table2[[#This Row],[STARTING INVENTORY]])</f>
        <v>0.16949152542372881</v>
      </c>
      <c r="M1015">
        <f>Table2[[#This Row],[STARTING INVENTORY]]-Table2[[#This Row],[ENDING INVENTORY]]</f>
        <v>10</v>
      </c>
    </row>
    <row r="1016" spans="1:13">
      <c r="A1016" t="s">
        <v>13</v>
      </c>
      <c r="B1016" t="s">
        <v>163</v>
      </c>
      <c r="C1016" t="s">
        <v>117</v>
      </c>
      <c r="D1016" t="s">
        <v>33</v>
      </c>
      <c r="E1016" s="3">
        <v>5.25</v>
      </c>
      <c r="F1016" s="3">
        <v>5.46</v>
      </c>
      <c r="G1016">
        <v>1.98</v>
      </c>
      <c r="H1016" s="3">
        <v>10.395</v>
      </c>
      <c r="I1016">
        <v>93</v>
      </c>
      <c r="J1016">
        <v>0</v>
      </c>
      <c r="K1016">
        <v>37</v>
      </c>
      <c r="L1016" s="13">
        <f>(Table2[[#This Row],[STARTING INVENTORY]]-Table2[[#This Row],[ENDING INVENTORY]])/(Table2[[#This Row],[STARTING INVENTORY]])</f>
        <v>0.60215053763440862</v>
      </c>
      <c r="M1016">
        <f>Table2[[#This Row],[STARTING INVENTORY]]-Table2[[#This Row],[ENDING INVENTORY]]</f>
        <v>56</v>
      </c>
    </row>
    <row r="1017" spans="1:13">
      <c r="A1017" t="s">
        <v>13</v>
      </c>
      <c r="B1017" t="s">
        <v>163</v>
      </c>
      <c r="C1017" t="s">
        <v>123</v>
      </c>
      <c r="D1017" t="s">
        <v>33</v>
      </c>
      <c r="E1017" s="3">
        <v>2</v>
      </c>
      <c r="F1017" s="3">
        <v>2.08</v>
      </c>
      <c r="G1017">
        <v>2.04</v>
      </c>
      <c r="H1017" s="3">
        <v>4.08</v>
      </c>
      <c r="I1017">
        <v>51</v>
      </c>
      <c r="J1017">
        <v>1</v>
      </c>
      <c r="K1017">
        <v>26</v>
      </c>
      <c r="L1017" s="13">
        <f>(Table2[[#This Row],[STARTING INVENTORY]]-Table2[[#This Row],[ENDING INVENTORY]])/(Table2[[#This Row],[STARTING INVENTORY]])</f>
        <v>0.49019607843137253</v>
      </c>
      <c r="M1017">
        <f>Table2[[#This Row],[STARTING INVENTORY]]-Table2[[#This Row],[ENDING INVENTORY]]</f>
        <v>25</v>
      </c>
    </row>
    <row r="1018" spans="1:13">
      <c r="A1018" t="s">
        <v>13</v>
      </c>
      <c r="B1018" t="s">
        <v>163</v>
      </c>
      <c r="C1018" t="s">
        <v>129</v>
      </c>
      <c r="D1018" t="s">
        <v>33</v>
      </c>
      <c r="E1018" s="3">
        <v>2.8</v>
      </c>
      <c r="F1018" s="3">
        <v>2.9119999999999999</v>
      </c>
      <c r="G1018">
        <v>2</v>
      </c>
      <c r="H1018" s="3">
        <v>5.6</v>
      </c>
      <c r="I1018">
        <v>62</v>
      </c>
      <c r="J1018">
        <v>7</v>
      </c>
      <c r="K1018">
        <v>33</v>
      </c>
      <c r="L1018" s="13">
        <f>(Table2[[#This Row],[STARTING INVENTORY]]-Table2[[#This Row],[ENDING INVENTORY]])/(Table2[[#This Row],[STARTING INVENTORY]])</f>
        <v>0.46774193548387094</v>
      </c>
      <c r="M1018">
        <f>Table2[[#This Row],[STARTING INVENTORY]]-Table2[[#This Row],[ENDING INVENTORY]]</f>
        <v>29</v>
      </c>
    </row>
    <row r="1019" spans="1:13">
      <c r="A1019" t="s">
        <v>13</v>
      </c>
      <c r="B1019" t="s">
        <v>163</v>
      </c>
      <c r="C1019" t="s">
        <v>135</v>
      </c>
      <c r="D1019" t="s">
        <v>33</v>
      </c>
      <c r="E1019" s="3">
        <v>1.35</v>
      </c>
      <c r="F1019" s="3">
        <v>1.4040000000000001</v>
      </c>
      <c r="G1019">
        <v>2.09</v>
      </c>
      <c r="H1019" s="3">
        <v>2.8214999999999999</v>
      </c>
      <c r="I1019">
        <v>89</v>
      </c>
      <c r="J1019">
        <v>3</v>
      </c>
      <c r="K1019">
        <v>14</v>
      </c>
      <c r="L1019" s="13">
        <f>(Table2[[#This Row],[STARTING INVENTORY]]-Table2[[#This Row],[ENDING INVENTORY]])/(Table2[[#This Row],[STARTING INVENTORY]])</f>
        <v>0.84269662921348309</v>
      </c>
      <c r="M1019">
        <f>Table2[[#This Row],[STARTING INVENTORY]]-Table2[[#This Row],[ENDING INVENTORY]]</f>
        <v>75</v>
      </c>
    </row>
    <row r="1020" spans="1:13">
      <c r="A1020" t="s">
        <v>13</v>
      </c>
      <c r="B1020" t="s">
        <v>163</v>
      </c>
      <c r="C1020" t="s">
        <v>141</v>
      </c>
      <c r="D1020" t="s">
        <v>33</v>
      </c>
      <c r="E1020" s="3">
        <v>2.25</v>
      </c>
      <c r="F1020" s="3">
        <v>2.34</v>
      </c>
      <c r="G1020">
        <v>2.02</v>
      </c>
      <c r="H1020" s="3">
        <v>4.5449999999999999</v>
      </c>
      <c r="I1020">
        <v>51</v>
      </c>
      <c r="J1020">
        <v>2</v>
      </c>
      <c r="K1020">
        <v>31</v>
      </c>
      <c r="L1020" s="13">
        <f>(Table2[[#This Row],[STARTING INVENTORY]]-Table2[[#This Row],[ENDING INVENTORY]])/(Table2[[#This Row],[STARTING INVENTORY]])</f>
        <v>0.39215686274509803</v>
      </c>
      <c r="M1020">
        <f>Table2[[#This Row],[STARTING INVENTORY]]-Table2[[#This Row],[ENDING INVENTORY]]</f>
        <v>20</v>
      </c>
    </row>
    <row r="1021" spans="1:13">
      <c r="A1021" t="s">
        <v>13</v>
      </c>
      <c r="B1021" t="s">
        <v>163</v>
      </c>
      <c r="C1021" t="s">
        <v>147</v>
      </c>
      <c r="D1021" t="s">
        <v>33</v>
      </c>
      <c r="E1021" s="3">
        <v>2.8</v>
      </c>
      <c r="F1021" s="3">
        <v>2.9119999999999999</v>
      </c>
      <c r="G1021">
        <v>1.95</v>
      </c>
      <c r="H1021" s="3">
        <v>5.46</v>
      </c>
      <c r="I1021">
        <v>133</v>
      </c>
      <c r="J1021">
        <v>0</v>
      </c>
      <c r="K1021">
        <v>60</v>
      </c>
      <c r="L1021" s="13">
        <f>(Table2[[#This Row],[STARTING INVENTORY]]-Table2[[#This Row],[ENDING INVENTORY]])/(Table2[[#This Row],[STARTING INVENTORY]])</f>
        <v>0.54887218045112784</v>
      </c>
      <c r="M1021">
        <f>Table2[[#This Row],[STARTING INVENTORY]]-Table2[[#This Row],[ENDING INVENTORY]]</f>
        <v>73</v>
      </c>
    </row>
    <row r="1022" spans="1:13">
      <c r="A1022" t="s">
        <v>13</v>
      </c>
      <c r="B1022" t="s">
        <v>164</v>
      </c>
      <c r="C1022" t="s">
        <v>31</v>
      </c>
      <c r="D1022" t="s">
        <v>29</v>
      </c>
      <c r="E1022" s="3">
        <v>5.25</v>
      </c>
      <c r="F1022" s="3">
        <v>5.46</v>
      </c>
      <c r="G1022">
        <v>1.98</v>
      </c>
      <c r="H1022" s="3">
        <v>10.395</v>
      </c>
      <c r="I1022">
        <v>94</v>
      </c>
      <c r="J1022">
        <v>10</v>
      </c>
      <c r="K1022">
        <v>20</v>
      </c>
      <c r="L1022" s="13">
        <f>(Table2[[#This Row],[STARTING INVENTORY]]-Table2[[#This Row],[ENDING INVENTORY]])/(Table2[[#This Row],[STARTING INVENTORY]])</f>
        <v>0.78723404255319152</v>
      </c>
      <c r="M1022">
        <f>Table2[[#This Row],[STARTING INVENTORY]]-Table2[[#This Row],[ENDING INVENTORY]]</f>
        <v>74</v>
      </c>
    </row>
    <row r="1023" spans="1:13">
      <c r="A1023" t="s">
        <v>13</v>
      </c>
      <c r="B1023" t="s">
        <v>164</v>
      </c>
      <c r="C1023" t="s">
        <v>38</v>
      </c>
      <c r="D1023" t="s">
        <v>29</v>
      </c>
      <c r="E1023" s="3">
        <v>4.75</v>
      </c>
      <c r="F1023" s="3">
        <v>4.9400000000000004</v>
      </c>
      <c r="G1023">
        <v>2.08</v>
      </c>
      <c r="H1023" s="3">
        <v>9.8800000000000008</v>
      </c>
      <c r="I1023">
        <v>92</v>
      </c>
      <c r="J1023">
        <v>3</v>
      </c>
      <c r="K1023">
        <v>45</v>
      </c>
      <c r="L1023" s="13">
        <f>(Table2[[#This Row],[STARTING INVENTORY]]-Table2[[#This Row],[ENDING INVENTORY]])/(Table2[[#This Row],[STARTING INVENTORY]])</f>
        <v>0.51086956521739135</v>
      </c>
      <c r="M1023">
        <f>Table2[[#This Row],[STARTING INVENTORY]]-Table2[[#This Row],[ENDING INVENTORY]]</f>
        <v>47</v>
      </c>
    </row>
    <row r="1024" spans="1:13">
      <c r="A1024" t="s">
        <v>13</v>
      </c>
      <c r="B1024" t="s">
        <v>164</v>
      </c>
      <c r="C1024" t="s">
        <v>44</v>
      </c>
      <c r="D1024" t="s">
        <v>29</v>
      </c>
      <c r="E1024" s="3">
        <v>6.5</v>
      </c>
      <c r="F1024" s="3">
        <v>6.76</v>
      </c>
      <c r="G1024">
        <v>2.0700000000000003</v>
      </c>
      <c r="H1024" s="3">
        <v>13.455000000000002</v>
      </c>
      <c r="I1024">
        <v>102</v>
      </c>
      <c r="J1024">
        <v>1</v>
      </c>
      <c r="K1024">
        <v>68</v>
      </c>
      <c r="L1024" s="13">
        <f>(Table2[[#This Row],[STARTING INVENTORY]]-Table2[[#This Row],[ENDING INVENTORY]])/(Table2[[#This Row],[STARTING INVENTORY]])</f>
        <v>0.33333333333333331</v>
      </c>
      <c r="M1024">
        <f>Table2[[#This Row],[STARTING INVENTORY]]-Table2[[#This Row],[ENDING INVENTORY]]</f>
        <v>34</v>
      </c>
    </row>
    <row r="1025" spans="1:13">
      <c r="A1025" t="s">
        <v>13</v>
      </c>
      <c r="B1025" t="s">
        <v>164</v>
      </c>
      <c r="C1025" t="s">
        <v>50</v>
      </c>
      <c r="D1025" t="s">
        <v>29</v>
      </c>
      <c r="E1025" s="3">
        <v>5.75</v>
      </c>
      <c r="F1025" s="3">
        <v>5.98</v>
      </c>
      <c r="G1025">
        <v>1.99</v>
      </c>
      <c r="H1025" s="3">
        <v>11.442500000000001</v>
      </c>
      <c r="I1025">
        <v>46</v>
      </c>
      <c r="J1025">
        <v>6</v>
      </c>
      <c r="K1025">
        <v>5</v>
      </c>
      <c r="L1025" s="13">
        <f>(Table2[[#This Row],[STARTING INVENTORY]]-Table2[[#This Row],[ENDING INVENTORY]])/(Table2[[#This Row],[STARTING INVENTORY]])</f>
        <v>0.89130434782608692</v>
      </c>
      <c r="M1025">
        <f>Table2[[#This Row],[STARTING INVENTORY]]-Table2[[#This Row],[ENDING INVENTORY]]</f>
        <v>41</v>
      </c>
    </row>
    <row r="1026" spans="1:13">
      <c r="A1026" t="s">
        <v>13</v>
      </c>
      <c r="B1026" t="s">
        <v>164</v>
      </c>
      <c r="C1026" t="s">
        <v>56</v>
      </c>
      <c r="D1026" t="s">
        <v>29</v>
      </c>
      <c r="E1026" s="3">
        <v>5.5</v>
      </c>
      <c r="F1026" s="3">
        <v>5.7200000000000006</v>
      </c>
      <c r="G1026">
        <v>2</v>
      </c>
      <c r="H1026" s="3">
        <v>11</v>
      </c>
      <c r="I1026">
        <v>38</v>
      </c>
      <c r="J1026">
        <v>1</v>
      </c>
      <c r="K1026">
        <v>37</v>
      </c>
      <c r="L1026" s="13">
        <f>(Table2[[#This Row],[STARTING INVENTORY]]-Table2[[#This Row],[ENDING INVENTORY]])/(Table2[[#This Row],[STARTING INVENTORY]])</f>
        <v>2.6315789473684209E-2</v>
      </c>
      <c r="M1026">
        <f>Table2[[#This Row],[STARTING INVENTORY]]-Table2[[#This Row],[ENDING INVENTORY]]</f>
        <v>1</v>
      </c>
    </row>
    <row r="1027" spans="1:13">
      <c r="A1027" t="s">
        <v>13</v>
      </c>
      <c r="B1027" t="s">
        <v>164</v>
      </c>
      <c r="C1027" t="s">
        <v>62</v>
      </c>
      <c r="D1027" t="s">
        <v>29</v>
      </c>
      <c r="E1027" s="3">
        <v>4.25</v>
      </c>
      <c r="F1027" s="3">
        <v>4.42</v>
      </c>
      <c r="G1027">
        <v>2.09</v>
      </c>
      <c r="H1027" s="3">
        <v>8.8825000000000003</v>
      </c>
      <c r="I1027">
        <v>104</v>
      </c>
      <c r="J1027">
        <v>2</v>
      </c>
      <c r="K1027">
        <v>61</v>
      </c>
      <c r="L1027" s="13">
        <f>(Table2[[#This Row],[STARTING INVENTORY]]-Table2[[#This Row],[ENDING INVENTORY]])/(Table2[[#This Row],[STARTING INVENTORY]])</f>
        <v>0.41346153846153844</v>
      </c>
      <c r="M1027">
        <f>Table2[[#This Row],[STARTING INVENTORY]]-Table2[[#This Row],[ENDING INVENTORY]]</f>
        <v>43</v>
      </c>
    </row>
    <row r="1028" spans="1:13">
      <c r="A1028" t="s">
        <v>13</v>
      </c>
      <c r="B1028" t="s">
        <v>164</v>
      </c>
      <c r="C1028" t="s">
        <v>68</v>
      </c>
      <c r="D1028" t="s">
        <v>29</v>
      </c>
      <c r="E1028" s="3">
        <v>5.0999999999999996</v>
      </c>
      <c r="F1028" s="3">
        <v>5.3039999999999994</v>
      </c>
      <c r="G1028">
        <v>1.99</v>
      </c>
      <c r="H1028" s="3">
        <v>10.148999999999999</v>
      </c>
      <c r="I1028">
        <v>44</v>
      </c>
      <c r="J1028">
        <v>3</v>
      </c>
      <c r="K1028">
        <v>21</v>
      </c>
      <c r="L1028" s="13">
        <f>(Table2[[#This Row],[STARTING INVENTORY]]-Table2[[#This Row],[ENDING INVENTORY]])/(Table2[[#This Row],[STARTING INVENTORY]])</f>
        <v>0.52272727272727271</v>
      </c>
      <c r="M1028">
        <f>Table2[[#This Row],[STARTING INVENTORY]]-Table2[[#This Row],[ENDING INVENTORY]]</f>
        <v>23</v>
      </c>
    </row>
    <row r="1029" spans="1:13">
      <c r="A1029" t="s">
        <v>13</v>
      </c>
      <c r="B1029" t="s">
        <v>164</v>
      </c>
      <c r="C1029" t="s">
        <v>74</v>
      </c>
      <c r="D1029" t="s">
        <v>29</v>
      </c>
      <c r="E1029" s="3">
        <v>2.8</v>
      </c>
      <c r="F1029" s="3">
        <v>2.9119999999999999</v>
      </c>
      <c r="G1029">
        <v>2.06</v>
      </c>
      <c r="H1029" s="3">
        <v>5.7679999999999998</v>
      </c>
      <c r="I1029">
        <v>53</v>
      </c>
      <c r="J1029">
        <v>0</v>
      </c>
      <c r="K1029">
        <v>17</v>
      </c>
      <c r="L1029" s="13">
        <f>(Table2[[#This Row],[STARTING INVENTORY]]-Table2[[#This Row],[ENDING INVENTORY]])/(Table2[[#This Row],[STARTING INVENTORY]])</f>
        <v>0.67924528301886788</v>
      </c>
      <c r="M1029">
        <f>Table2[[#This Row],[STARTING INVENTORY]]-Table2[[#This Row],[ENDING INVENTORY]]</f>
        <v>36</v>
      </c>
    </row>
    <row r="1030" spans="1:13">
      <c r="A1030" t="s">
        <v>13</v>
      </c>
      <c r="B1030" t="s">
        <v>164</v>
      </c>
      <c r="C1030" t="s">
        <v>80</v>
      </c>
      <c r="D1030" t="s">
        <v>29</v>
      </c>
      <c r="E1030" s="3">
        <v>4</v>
      </c>
      <c r="F1030" s="3">
        <v>4.16</v>
      </c>
      <c r="G1030">
        <v>2.06</v>
      </c>
      <c r="H1030" s="3">
        <v>8.24</v>
      </c>
      <c r="I1030">
        <v>67</v>
      </c>
      <c r="J1030">
        <v>9</v>
      </c>
      <c r="K1030">
        <v>13</v>
      </c>
      <c r="L1030" s="13">
        <f>(Table2[[#This Row],[STARTING INVENTORY]]-Table2[[#This Row],[ENDING INVENTORY]])/(Table2[[#This Row],[STARTING INVENTORY]])</f>
        <v>0.80597014925373134</v>
      </c>
      <c r="M1030">
        <f>Table2[[#This Row],[STARTING INVENTORY]]-Table2[[#This Row],[ENDING INVENTORY]]</f>
        <v>54</v>
      </c>
    </row>
    <row r="1031" spans="1:13">
      <c r="A1031" t="s">
        <v>13</v>
      </c>
      <c r="B1031" t="s">
        <v>164</v>
      </c>
      <c r="C1031" t="s">
        <v>86</v>
      </c>
      <c r="D1031" t="s">
        <v>29</v>
      </c>
      <c r="E1031" s="3">
        <v>9</v>
      </c>
      <c r="F1031" s="3">
        <v>9.36</v>
      </c>
      <c r="G1031">
        <v>2.06</v>
      </c>
      <c r="H1031" s="3">
        <v>18.54</v>
      </c>
      <c r="I1031">
        <v>64</v>
      </c>
      <c r="J1031">
        <v>4</v>
      </c>
      <c r="K1031">
        <v>9</v>
      </c>
      <c r="L1031" s="13">
        <f>(Table2[[#This Row],[STARTING INVENTORY]]-Table2[[#This Row],[ENDING INVENTORY]])/(Table2[[#This Row],[STARTING INVENTORY]])</f>
        <v>0.859375</v>
      </c>
      <c r="M1031">
        <f>Table2[[#This Row],[STARTING INVENTORY]]-Table2[[#This Row],[ENDING INVENTORY]]</f>
        <v>55</v>
      </c>
    </row>
    <row r="1032" spans="1:13">
      <c r="A1032" t="s">
        <v>13</v>
      </c>
      <c r="B1032" t="s">
        <v>164</v>
      </c>
      <c r="C1032" t="s">
        <v>92</v>
      </c>
      <c r="D1032" t="s">
        <v>29</v>
      </c>
      <c r="E1032" s="3">
        <v>2.75</v>
      </c>
      <c r="F1032" s="3">
        <v>2.8600000000000003</v>
      </c>
      <c r="G1032">
        <v>2.04</v>
      </c>
      <c r="H1032" s="3">
        <v>5.61</v>
      </c>
      <c r="I1032">
        <v>78</v>
      </c>
      <c r="J1032">
        <v>2</v>
      </c>
      <c r="K1032">
        <v>45</v>
      </c>
      <c r="L1032" s="13">
        <f>(Table2[[#This Row],[STARTING INVENTORY]]-Table2[[#This Row],[ENDING INVENTORY]])/(Table2[[#This Row],[STARTING INVENTORY]])</f>
        <v>0.42307692307692307</v>
      </c>
      <c r="M1032">
        <f>Table2[[#This Row],[STARTING INVENTORY]]-Table2[[#This Row],[ENDING INVENTORY]]</f>
        <v>33</v>
      </c>
    </row>
    <row r="1033" spans="1:13">
      <c r="A1033" t="s">
        <v>13</v>
      </c>
      <c r="B1033" t="s">
        <v>164</v>
      </c>
      <c r="C1033" t="s">
        <v>98</v>
      </c>
      <c r="D1033" t="s">
        <v>29</v>
      </c>
      <c r="E1033" s="3">
        <v>3.9</v>
      </c>
      <c r="F1033" s="3">
        <v>4.056</v>
      </c>
      <c r="G1033">
        <v>2.0700000000000003</v>
      </c>
      <c r="H1033" s="3">
        <v>8.0730000000000004</v>
      </c>
      <c r="I1033">
        <v>98</v>
      </c>
      <c r="J1033">
        <v>0</v>
      </c>
      <c r="K1033">
        <v>12</v>
      </c>
      <c r="L1033" s="13">
        <f>(Table2[[#This Row],[STARTING INVENTORY]]-Table2[[#This Row],[ENDING INVENTORY]])/(Table2[[#This Row],[STARTING INVENTORY]])</f>
        <v>0.87755102040816324</v>
      </c>
      <c r="M1033">
        <f>Table2[[#This Row],[STARTING INVENTORY]]-Table2[[#This Row],[ENDING INVENTORY]]</f>
        <v>86</v>
      </c>
    </row>
    <row r="1034" spans="1:13">
      <c r="A1034" t="s">
        <v>13</v>
      </c>
      <c r="B1034" t="s">
        <v>164</v>
      </c>
      <c r="C1034" t="s">
        <v>104</v>
      </c>
      <c r="D1034" t="s">
        <v>29</v>
      </c>
      <c r="E1034" s="3">
        <v>4.3</v>
      </c>
      <c r="F1034" s="3">
        <v>4.4719999999999995</v>
      </c>
      <c r="G1034">
        <v>2.0300000000000002</v>
      </c>
      <c r="H1034" s="3">
        <v>8.729000000000001</v>
      </c>
      <c r="I1034">
        <v>91</v>
      </c>
      <c r="J1034">
        <v>0</v>
      </c>
      <c r="K1034">
        <v>2</v>
      </c>
      <c r="L1034" s="13">
        <f>(Table2[[#This Row],[STARTING INVENTORY]]-Table2[[#This Row],[ENDING INVENTORY]])/(Table2[[#This Row],[STARTING INVENTORY]])</f>
        <v>0.97802197802197799</v>
      </c>
      <c r="M1034">
        <f>Table2[[#This Row],[STARTING INVENTORY]]-Table2[[#This Row],[ENDING INVENTORY]]</f>
        <v>89</v>
      </c>
    </row>
    <row r="1035" spans="1:13">
      <c r="A1035" t="s">
        <v>13</v>
      </c>
      <c r="B1035" t="s">
        <v>164</v>
      </c>
      <c r="C1035" t="s">
        <v>110</v>
      </c>
      <c r="D1035" t="s">
        <v>29</v>
      </c>
      <c r="E1035" s="3">
        <v>4</v>
      </c>
      <c r="F1035" s="3">
        <v>4.16</v>
      </c>
      <c r="G1035">
        <v>2.0099999999999998</v>
      </c>
      <c r="H1035" s="3">
        <v>8.0399999999999991</v>
      </c>
      <c r="I1035">
        <v>89</v>
      </c>
      <c r="J1035">
        <v>1</v>
      </c>
      <c r="K1035">
        <v>5</v>
      </c>
      <c r="L1035" s="13">
        <f>(Table2[[#This Row],[STARTING INVENTORY]]-Table2[[#This Row],[ENDING INVENTORY]])/(Table2[[#This Row],[STARTING INVENTORY]])</f>
        <v>0.9438202247191011</v>
      </c>
      <c r="M1035">
        <f>Table2[[#This Row],[STARTING INVENTORY]]-Table2[[#This Row],[ENDING INVENTORY]]</f>
        <v>84</v>
      </c>
    </row>
    <row r="1036" spans="1:13">
      <c r="A1036" t="s">
        <v>13</v>
      </c>
      <c r="B1036" t="s">
        <v>164</v>
      </c>
      <c r="C1036" t="s">
        <v>116</v>
      </c>
      <c r="D1036" t="s">
        <v>29</v>
      </c>
      <c r="E1036" s="3">
        <v>4.75</v>
      </c>
      <c r="F1036" s="3">
        <v>4.9400000000000004</v>
      </c>
      <c r="G1036">
        <v>2.0099999999999998</v>
      </c>
      <c r="H1036" s="3">
        <v>9.5474999999999994</v>
      </c>
      <c r="I1036">
        <v>79</v>
      </c>
      <c r="J1036">
        <v>4</v>
      </c>
      <c r="K1036">
        <v>7</v>
      </c>
      <c r="L1036" s="13">
        <f>(Table2[[#This Row],[STARTING INVENTORY]]-Table2[[#This Row],[ENDING INVENTORY]])/(Table2[[#This Row],[STARTING INVENTORY]])</f>
        <v>0.91139240506329111</v>
      </c>
      <c r="M1036">
        <f>Table2[[#This Row],[STARTING INVENTORY]]-Table2[[#This Row],[ENDING INVENTORY]]</f>
        <v>72</v>
      </c>
    </row>
    <row r="1037" spans="1:13">
      <c r="A1037" t="s">
        <v>13</v>
      </c>
      <c r="B1037" t="s">
        <v>164</v>
      </c>
      <c r="C1037" t="s">
        <v>122</v>
      </c>
      <c r="D1037" t="s">
        <v>29</v>
      </c>
      <c r="E1037" s="3">
        <v>2.25</v>
      </c>
      <c r="F1037" s="3">
        <v>2.34</v>
      </c>
      <c r="G1037">
        <v>2.04</v>
      </c>
      <c r="H1037" s="3">
        <v>4.59</v>
      </c>
      <c r="I1037">
        <v>107</v>
      </c>
      <c r="J1037">
        <v>1</v>
      </c>
      <c r="K1037">
        <v>43</v>
      </c>
      <c r="L1037" s="13">
        <f>(Table2[[#This Row],[STARTING INVENTORY]]-Table2[[#This Row],[ENDING INVENTORY]])/(Table2[[#This Row],[STARTING INVENTORY]])</f>
        <v>0.59813084112149528</v>
      </c>
      <c r="M1037">
        <f>Table2[[#This Row],[STARTING INVENTORY]]-Table2[[#This Row],[ENDING INVENTORY]]</f>
        <v>64</v>
      </c>
    </row>
    <row r="1038" spans="1:13">
      <c r="A1038" t="s">
        <v>13</v>
      </c>
      <c r="B1038" t="s">
        <v>164</v>
      </c>
      <c r="C1038" t="s">
        <v>128</v>
      </c>
      <c r="D1038" t="s">
        <v>29</v>
      </c>
      <c r="E1038" s="3">
        <v>2.1</v>
      </c>
      <c r="F1038" s="3">
        <v>2.1840000000000002</v>
      </c>
      <c r="G1038">
        <v>1.96</v>
      </c>
      <c r="H1038" s="3">
        <v>4.1159999999999997</v>
      </c>
      <c r="I1038">
        <v>104</v>
      </c>
      <c r="J1038">
        <v>2</v>
      </c>
      <c r="K1038">
        <v>32</v>
      </c>
      <c r="L1038" s="13">
        <f>(Table2[[#This Row],[STARTING INVENTORY]]-Table2[[#This Row],[ENDING INVENTORY]])/(Table2[[#This Row],[STARTING INVENTORY]])</f>
        <v>0.69230769230769229</v>
      </c>
      <c r="M1038">
        <f>Table2[[#This Row],[STARTING INVENTORY]]-Table2[[#This Row],[ENDING INVENTORY]]</f>
        <v>72</v>
      </c>
    </row>
    <row r="1039" spans="1:13">
      <c r="A1039" t="s">
        <v>13</v>
      </c>
      <c r="B1039" t="s">
        <v>164</v>
      </c>
      <c r="C1039" t="s">
        <v>134</v>
      </c>
      <c r="D1039" t="s">
        <v>29</v>
      </c>
      <c r="E1039" s="3">
        <v>2</v>
      </c>
      <c r="F1039" s="3">
        <v>2.08</v>
      </c>
      <c r="G1039">
        <v>2.06</v>
      </c>
      <c r="H1039" s="3">
        <v>4.12</v>
      </c>
      <c r="I1039">
        <v>38</v>
      </c>
      <c r="J1039">
        <v>4</v>
      </c>
      <c r="K1039">
        <v>16</v>
      </c>
      <c r="L1039" s="13">
        <f>(Table2[[#This Row],[STARTING INVENTORY]]-Table2[[#This Row],[ENDING INVENTORY]])/(Table2[[#This Row],[STARTING INVENTORY]])</f>
        <v>0.57894736842105265</v>
      </c>
      <c r="M1039">
        <f>Table2[[#This Row],[STARTING INVENTORY]]-Table2[[#This Row],[ENDING INVENTORY]]</f>
        <v>22</v>
      </c>
    </row>
    <row r="1040" spans="1:13">
      <c r="A1040" t="s">
        <v>13</v>
      </c>
      <c r="B1040" t="s">
        <v>164</v>
      </c>
      <c r="C1040" t="s">
        <v>140</v>
      </c>
      <c r="D1040" t="s">
        <v>33</v>
      </c>
      <c r="E1040" s="3">
        <v>4.5</v>
      </c>
      <c r="F1040" s="3">
        <v>4.68</v>
      </c>
      <c r="G1040">
        <v>2.0099999999999998</v>
      </c>
      <c r="H1040" s="3">
        <v>9.0449999999999982</v>
      </c>
      <c r="I1040">
        <v>63</v>
      </c>
      <c r="J1040">
        <v>0</v>
      </c>
      <c r="K1040">
        <v>47</v>
      </c>
      <c r="L1040" s="13">
        <f>(Table2[[#This Row],[STARTING INVENTORY]]-Table2[[#This Row],[ENDING INVENTORY]])/(Table2[[#This Row],[STARTING INVENTORY]])</f>
        <v>0.25396825396825395</v>
      </c>
      <c r="M1040">
        <f>Table2[[#This Row],[STARTING INVENTORY]]-Table2[[#This Row],[ENDING INVENTORY]]</f>
        <v>16</v>
      </c>
    </row>
    <row r="1041" spans="1:13">
      <c r="A1041" t="s">
        <v>13</v>
      </c>
      <c r="B1041" t="s">
        <v>164</v>
      </c>
      <c r="C1041" t="s">
        <v>146</v>
      </c>
      <c r="D1041" t="s">
        <v>33</v>
      </c>
      <c r="E1041" s="3">
        <v>3.75</v>
      </c>
      <c r="F1041" s="3">
        <v>3.9000000000000004</v>
      </c>
      <c r="G1041">
        <v>1.96</v>
      </c>
      <c r="H1041" s="3">
        <v>7.35</v>
      </c>
      <c r="I1041">
        <v>105</v>
      </c>
      <c r="J1041">
        <v>3</v>
      </c>
      <c r="K1041">
        <v>74</v>
      </c>
      <c r="L1041" s="13">
        <f>(Table2[[#This Row],[STARTING INVENTORY]]-Table2[[#This Row],[ENDING INVENTORY]])/(Table2[[#This Row],[STARTING INVENTORY]])</f>
        <v>0.29523809523809524</v>
      </c>
      <c r="M1041">
        <f>Table2[[#This Row],[STARTING INVENTORY]]-Table2[[#This Row],[ENDING INVENTORY]]</f>
        <v>31</v>
      </c>
    </row>
    <row r="1042" spans="1:13">
      <c r="A1042" t="s">
        <v>13</v>
      </c>
      <c r="B1042" t="s">
        <v>165</v>
      </c>
      <c r="C1042" t="s">
        <v>35</v>
      </c>
      <c r="D1042" t="s">
        <v>33</v>
      </c>
      <c r="E1042" s="3">
        <v>2</v>
      </c>
      <c r="F1042" s="3">
        <v>2.08</v>
      </c>
      <c r="G1042">
        <v>2.09</v>
      </c>
      <c r="H1042" s="3">
        <v>4.18</v>
      </c>
      <c r="I1042">
        <v>158</v>
      </c>
      <c r="J1042">
        <v>0</v>
      </c>
      <c r="K1042">
        <v>76</v>
      </c>
      <c r="L1042" s="13">
        <f>(Table2[[#This Row],[STARTING INVENTORY]]-Table2[[#This Row],[ENDING INVENTORY]])/(Table2[[#This Row],[STARTING INVENTORY]])</f>
        <v>0.51898734177215189</v>
      </c>
      <c r="M1042">
        <f>Table2[[#This Row],[STARTING INVENTORY]]-Table2[[#This Row],[ENDING INVENTORY]]</f>
        <v>82</v>
      </c>
    </row>
    <row r="1043" spans="1:13">
      <c r="A1043" t="s">
        <v>13</v>
      </c>
      <c r="B1043" t="s">
        <v>165</v>
      </c>
      <c r="C1043" t="s">
        <v>41</v>
      </c>
      <c r="D1043" t="s">
        <v>33</v>
      </c>
      <c r="E1043" s="3">
        <v>1.95</v>
      </c>
      <c r="F1043" s="3">
        <v>2.028</v>
      </c>
      <c r="G1043">
        <v>2.02</v>
      </c>
      <c r="H1043" s="3">
        <v>3.9390000000000001</v>
      </c>
      <c r="I1043">
        <v>94</v>
      </c>
      <c r="J1043">
        <v>8</v>
      </c>
      <c r="K1043">
        <v>49</v>
      </c>
      <c r="L1043" s="13">
        <f>(Table2[[#This Row],[STARTING INVENTORY]]-Table2[[#This Row],[ENDING INVENTORY]])/(Table2[[#This Row],[STARTING INVENTORY]])</f>
        <v>0.47872340425531917</v>
      </c>
      <c r="M1043">
        <f>Table2[[#This Row],[STARTING INVENTORY]]-Table2[[#This Row],[ENDING INVENTORY]]</f>
        <v>45</v>
      </c>
    </row>
    <row r="1044" spans="1:13">
      <c r="A1044" t="s">
        <v>13</v>
      </c>
      <c r="B1044" t="s">
        <v>165</v>
      </c>
      <c r="C1044" t="s">
        <v>47</v>
      </c>
      <c r="D1044" t="s">
        <v>33</v>
      </c>
      <c r="E1044" s="3">
        <v>1.9</v>
      </c>
      <c r="F1044" s="3">
        <v>1.976</v>
      </c>
      <c r="G1044">
        <v>2.0700000000000003</v>
      </c>
      <c r="H1044" s="3">
        <v>3.9330000000000003</v>
      </c>
      <c r="I1044">
        <v>60</v>
      </c>
      <c r="J1044">
        <v>2</v>
      </c>
      <c r="K1044">
        <v>10</v>
      </c>
      <c r="L1044" s="13">
        <f>(Table2[[#This Row],[STARTING INVENTORY]]-Table2[[#This Row],[ENDING INVENTORY]])/(Table2[[#This Row],[STARTING INVENTORY]])</f>
        <v>0.83333333333333337</v>
      </c>
      <c r="M1044">
        <f>Table2[[#This Row],[STARTING INVENTORY]]-Table2[[#This Row],[ENDING INVENTORY]]</f>
        <v>50</v>
      </c>
    </row>
    <row r="1045" spans="1:13">
      <c r="A1045" t="s">
        <v>13</v>
      </c>
      <c r="B1045" t="s">
        <v>165</v>
      </c>
      <c r="C1045" t="s">
        <v>53</v>
      </c>
      <c r="D1045" t="s">
        <v>33</v>
      </c>
      <c r="E1045" s="3">
        <v>3.1</v>
      </c>
      <c r="F1045" s="3">
        <v>3.2240000000000002</v>
      </c>
      <c r="G1045">
        <v>2.06</v>
      </c>
      <c r="H1045" s="3">
        <v>6.3860000000000001</v>
      </c>
      <c r="I1045">
        <v>99</v>
      </c>
      <c r="J1045">
        <v>0</v>
      </c>
      <c r="K1045">
        <v>94</v>
      </c>
      <c r="L1045" s="13">
        <f>(Table2[[#This Row],[STARTING INVENTORY]]-Table2[[#This Row],[ENDING INVENTORY]])/(Table2[[#This Row],[STARTING INVENTORY]])</f>
        <v>5.0505050505050504E-2</v>
      </c>
      <c r="M1045">
        <f>Table2[[#This Row],[STARTING INVENTORY]]-Table2[[#This Row],[ENDING INVENTORY]]</f>
        <v>5</v>
      </c>
    </row>
    <row r="1046" spans="1:13">
      <c r="A1046" t="s">
        <v>13</v>
      </c>
      <c r="B1046" t="s">
        <v>165</v>
      </c>
      <c r="C1046" t="s">
        <v>59</v>
      </c>
      <c r="D1046" t="s">
        <v>33</v>
      </c>
      <c r="E1046" s="3">
        <v>2</v>
      </c>
      <c r="F1046" s="3">
        <v>2.08</v>
      </c>
      <c r="G1046">
        <v>2.1</v>
      </c>
      <c r="H1046" s="3">
        <v>4.2</v>
      </c>
      <c r="I1046">
        <v>123</v>
      </c>
      <c r="J1046">
        <v>1</v>
      </c>
      <c r="K1046">
        <v>27</v>
      </c>
      <c r="L1046" s="13">
        <f>(Table2[[#This Row],[STARTING INVENTORY]]-Table2[[#This Row],[ENDING INVENTORY]])/(Table2[[#This Row],[STARTING INVENTORY]])</f>
        <v>0.78048780487804881</v>
      </c>
      <c r="M1046">
        <f>Table2[[#This Row],[STARTING INVENTORY]]-Table2[[#This Row],[ENDING INVENTORY]]</f>
        <v>96</v>
      </c>
    </row>
    <row r="1047" spans="1:13">
      <c r="A1047" t="s">
        <v>13</v>
      </c>
      <c r="B1047" t="s">
        <v>165</v>
      </c>
      <c r="C1047" t="s">
        <v>65</v>
      </c>
      <c r="D1047" t="s">
        <v>33</v>
      </c>
      <c r="E1047" s="3">
        <v>1.7</v>
      </c>
      <c r="F1047" s="3">
        <v>1.768</v>
      </c>
      <c r="G1047">
        <v>1.95</v>
      </c>
      <c r="H1047" s="3">
        <v>3.3149999999999999</v>
      </c>
      <c r="I1047">
        <v>81</v>
      </c>
      <c r="J1047">
        <v>1</v>
      </c>
      <c r="K1047">
        <v>69</v>
      </c>
      <c r="L1047" s="13">
        <f>(Table2[[#This Row],[STARTING INVENTORY]]-Table2[[#This Row],[ENDING INVENTORY]])/(Table2[[#This Row],[STARTING INVENTORY]])</f>
        <v>0.14814814814814814</v>
      </c>
      <c r="M1047">
        <f>Table2[[#This Row],[STARTING INVENTORY]]-Table2[[#This Row],[ENDING INVENTORY]]</f>
        <v>12</v>
      </c>
    </row>
    <row r="1048" spans="1:13">
      <c r="A1048" t="s">
        <v>13</v>
      </c>
      <c r="B1048" t="s">
        <v>165</v>
      </c>
      <c r="C1048" t="s">
        <v>71</v>
      </c>
      <c r="D1048" t="s">
        <v>33</v>
      </c>
      <c r="E1048" s="3">
        <v>1.5</v>
      </c>
      <c r="F1048" s="3">
        <v>1.56</v>
      </c>
      <c r="G1048">
        <v>2.1</v>
      </c>
      <c r="H1048" s="3">
        <v>3.1500000000000004</v>
      </c>
      <c r="I1048">
        <v>119</v>
      </c>
      <c r="J1048">
        <v>4</v>
      </c>
      <c r="K1048">
        <v>40</v>
      </c>
      <c r="L1048" s="13">
        <f>(Table2[[#This Row],[STARTING INVENTORY]]-Table2[[#This Row],[ENDING INVENTORY]])/(Table2[[#This Row],[STARTING INVENTORY]])</f>
        <v>0.66386554621848737</v>
      </c>
      <c r="M1048">
        <f>Table2[[#This Row],[STARTING INVENTORY]]-Table2[[#This Row],[ENDING INVENTORY]]</f>
        <v>79</v>
      </c>
    </row>
    <row r="1049" spans="1:13">
      <c r="A1049" t="s">
        <v>13</v>
      </c>
      <c r="B1049" t="s">
        <v>165</v>
      </c>
      <c r="C1049" t="s">
        <v>77</v>
      </c>
      <c r="D1049" t="s">
        <v>33</v>
      </c>
      <c r="E1049" s="3">
        <v>2.65</v>
      </c>
      <c r="F1049" s="3">
        <v>2.7559999999999998</v>
      </c>
      <c r="G1049">
        <v>1.96</v>
      </c>
      <c r="H1049" s="3">
        <v>5.194</v>
      </c>
      <c r="I1049">
        <v>123</v>
      </c>
      <c r="J1049">
        <v>4</v>
      </c>
      <c r="K1049">
        <v>15</v>
      </c>
      <c r="L1049" s="13">
        <f>(Table2[[#This Row],[STARTING INVENTORY]]-Table2[[#This Row],[ENDING INVENTORY]])/(Table2[[#This Row],[STARTING INVENTORY]])</f>
        <v>0.87804878048780488</v>
      </c>
      <c r="M1049">
        <f>Table2[[#This Row],[STARTING INVENTORY]]-Table2[[#This Row],[ENDING INVENTORY]]</f>
        <v>108</v>
      </c>
    </row>
    <row r="1050" spans="1:13">
      <c r="A1050" t="s">
        <v>13</v>
      </c>
      <c r="B1050" t="s">
        <v>165</v>
      </c>
      <c r="C1050" t="s">
        <v>83</v>
      </c>
      <c r="D1050" t="s">
        <v>33</v>
      </c>
      <c r="E1050" s="3">
        <v>1.2</v>
      </c>
      <c r="F1050" s="3">
        <v>1.248</v>
      </c>
      <c r="G1050">
        <v>2.02</v>
      </c>
      <c r="H1050" s="3">
        <v>2.4239999999999999</v>
      </c>
      <c r="I1050">
        <v>152</v>
      </c>
      <c r="J1050">
        <v>3</v>
      </c>
      <c r="K1050">
        <v>67</v>
      </c>
      <c r="L1050" s="13">
        <f>(Table2[[#This Row],[STARTING INVENTORY]]-Table2[[#This Row],[ENDING INVENTORY]])/(Table2[[#This Row],[STARTING INVENTORY]])</f>
        <v>0.55921052631578949</v>
      </c>
      <c r="M1050">
        <f>Table2[[#This Row],[STARTING INVENTORY]]-Table2[[#This Row],[ENDING INVENTORY]]</f>
        <v>85</v>
      </c>
    </row>
    <row r="1051" spans="1:13">
      <c r="A1051" t="s">
        <v>13</v>
      </c>
      <c r="B1051" t="s">
        <v>165</v>
      </c>
      <c r="C1051" t="s">
        <v>89</v>
      </c>
      <c r="D1051" t="s">
        <v>33</v>
      </c>
      <c r="E1051" s="3">
        <v>1.4</v>
      </c>
      <c r="F1051" s="3">
        <v>1.456</v>
      </c>
      <c r="G1051">
        <v>2.0700000000000003</v>
      </c>
      <c r="H1051" s="3">
        <v>2.8980000000000001</v>
      </c>
      <c r="I1051">
        <v>131</v>
      </c>
      <c r="J1051">
        <v>0</v>
      </c>
      <c r="K1051">
        <v>98</v>
      </c>
      <c r="L1051" s="13">
        <f>(Table2[[#This Row],[STARTING INVENTORY]]-Table2[[#This Row],[ENDING INVENTORY]])/(Table2[[#This Row],[STARTING INVENTORY]])</f>
        <v>0.25190839694656486</v>
      </c>
      <c r="M1051">
        <f>Table2[[#This Row],[STARTING INVENTORY]]-Table2[[#This Row],[ENDING INVENTORY]]</f>
        <v>33</v>
      </c>
    </row>
    <row r="1052" spans="1:13">
      <c r="A1052" t="s">
        <v>13</v>
      </c>
      <c r="B1052" t="s">
        <v>165</v>
      </c>
      <c r="C1052" t="s">
        <v>95</v>
      </c>
      <c r="D1052" t="s">
        <v>33</v>
      </c>
      <c r="E1052" s="3">
        <v>1.6</v>
      </c>
      <c r="F1052" s="3">
        <v>1.6640000000000001</v>
      </c>
      <c r="G1052">
        <v>2.08</v>
      </c>
      <c r="H1052" s="3">
        <v>3.3280000000000003</v>
      </c>
      <c r="I1052">
        <v>70</v>
      </c>
      <c r="J1052">
        <v>0</v>
      </c>
      <c r="K1052">
        <v>47</v>
      </c>
      <c r="L1052" s="13">
        <f>(Table2[[#This Row],[STARTING INVENTORY]]-Table2[[#This Row],[ENDING INVENTORY]])/(Table2[[#This Row],[STARTING INVENTORY]])</f>
        <v>0.32857142857142857</v>
      </c>
      <c r="M1052">
        <f>Table2[[#This Row],[STARTING INVENTORY]]-Table2[[#This Row],[ENDING INVENTORY]]</f>
        <v>23</v>
      </c>
    </row>
    <row r="1053" spans="1:13">
      <c r="A1053" t="s">
        <v>13</v>
      </c>
      <c r="B1053" t="s">
        <v>165</v>
      </c>
      <c r="C1053" t="s">
        <v>101</v>
      </c>
      <c r="D1053" t="s">
        <v>33</v>
      </c>
      <c r="E1053" s="3">
        <v>0.7</v>
      </c>
      <c r="F1053" s="3">
        <v>0.72799999999999998</v>
      </c>
      <c r="G1053">
        <v>2.02</v>
      </c>
      <c r="H1053" s="3">
        <v>1.4139999999999999</v>
      </c>
      <c r="I1053">
        <v>164</v>
      </c>
      <c r="J1053">
        <v>0</v>
      </c>
      <c r="K1053">
        <v>63</v>
      </c>
      <c r="L1053" s="13">
        <f>(Table2[[#This Row],[STARTING INVENTORY]]-Table2[[#This Row],[ENDING INVENTORY]])/(Table2[[#This Row],[STARTING INVENTORY]])</f>
        <v>0.61585365853658536</v>
      </c>
      <c r="M1053">
        <f>Table2[[#This Row],[STARTING INVENTORY]]-Table2[[#This Row],[ENDING INVENTORY]]</f>
        <v>101</v>
      </c>
    </row>
    <row r="1054" spans="1:13">
      <c r="A1054" t="s">
        <v>13</v>
      </c>
      <c r="B1054" t="s">
        <v>165</v>
      </c>
      <c r="C1054" t="s">
        <v>107</v>
      </c>
      <c r="D1054" t="s">
        <v>33</v>
      </c>
      <c r="E1054" s="3">
        <v>0.55000000000000004</v>
      </c>
      <c r="F1054" s="3">
        <v>0.57200000000000006</v>
      </c>
      <c r="G1054">
        <v>2</v>
      </c>
      <c r="H1054" s="3">
        <v>1.1000000000000001</v>
      </c>
      <c r="I1054">
        <v>160</v>
      </c>
      <c r="J1054">
        <v>2</v>
      </c>
      <c r="K1054">
        <v>89</v>
      </c>
      <c r="L1054" s="13">
        <f>(Table2[[#This Row],[STARTING INVENTORY]]-Table2[[#This Row],[ENDING INVENTORY]])/(Table2[[#This Row],[STARTING INVENTORY]])</f>
        <v>0.44374999999999998</v>
      </c>
      <c r="M1054">
        <f>Table2[[#This Row],[STARTING INVENTORY]]-Table2[[#This Row],[ENDING INVENTORY]]</f>
        <v>71</v>
      </c>
    </row>
    <row r="1055" spans="1:13">
      <c r="A1055" t="s">
        <v>13</v>
      </c>
      <c r="B1055" t="s">
        <v>165</v>
      </c>
      <c r="C1055" t="s">
        <v>113</v>
      </c>
      <c r="D1055" t="s">
        <v>33</v>
      </c>
      <c r="E1055" s="3">
        <v>1.4</v>
      </c>
      <c r="F1055" s="3">
        <v>1.456</v>
      </c>
      <c r="G1055">
        <v>2.0700000000000003</v>
      </c>
      <c r="H1055" s="3">
        <v>2.8980000000000001</v>
      </c>
      <c r="I1055">
        <v>73</v>
      </c>
      <c r="J1055">
        <v>6</v>
      </c>
      <c r="K1055">
        <v>61</v>
      </c>
      <c r="L1055" s="13">
        <f>(Table2[[#This Row],[STARTING INVENTORY]]-Table2[[#This Row],[ENDING INVENTORY]])/(Table2[[#This Row],[STARTING INVENTORY]])</f>
        <v>0.16438356164383561</v>
      </c>
      <c r="M1055">
        <f>Table2[[#This Row],[STARTING INVENTORY]]-Table2[[#This Row],[ENDING INVENTORY]]</f>
        <v>12</v>
      </c>
    </row>
    <row r="1056" spans="1:13">
      <c r="A1056" t="s">
        <v>13</v>
      </c>
      <c r="B1056" t="s">
        <v>165</v>
      </c>
      <c r="C1056" t="s">
        <v>119</v>
      </c>
      <c r="D1056" t="s">
        <v>33</v>
      </c>
      <c r="E1056" s="3">
        <v>2</v>
      </c>
      <c r="F1056" s="3">
        <v>2.08</v>
      </c>
      <c r="G1056">
        <v>2.04</v>
      </c>
      <c r="H1056" s="3">
        <v>4.08</v>
      </c>
      <c r="I1056">
        <v>119</v>
      </c>
      <c r="J1056">
        <v>1</v>
      </c>
      <c r="K1056">
        <v>75</v>
      </c>
      <c r="L1056" s="13">
        <f>(Table2[[#This Row],[STARTING INVENTORY]]-Table2[[#This Row],[ENDING INVENTORY]])/(Table2[[#This Row],[STARTING INVENTORY]])</f>
        <v>0.36974789915966388</v>
      </c>
      <c r="M1056">
        <f>Table2[[#This Row],[STARTING INVENTORY]]-Table2[[#This Row],[ENDING INVENTORY]]</f>
        <v>44</v>
      </c>
    </row>
    <row r="1057" spans="1:13">
      <c r="A1057" t="s">
        <v>13</v>
      </c>
      <c r="B1057" t="s">
        <v>165</v>
      </c>
      <c r="C1057" t="s">
        <v>125</v>
      </c>
      <c r="D1057" t="s">
        <v>33</v>
      </c>
      <c r="E1057" s="3">
        <v>2.25</v>
      </c>
      <c r="F1057" s="3">
        <v>2.34</v>
      </c>
      <c r="G1057">
        <v>2.06</v>
      </c>
      <c r="H1057" s="3">
        <v>4.6349999999999998</v>
      </c>
      <c r="I1057">
        <v>89</v>
      </c>
      <c r="J1057">
        <v>0</v>
      </c>
      <c r="K1057">
        <v>10</v>
      </c>
      <c r="L1057" s="13">
        <f>(Table2[[#This Row],[STARTING INVENTORY]]-Table2[[#This Row],[ENDING INVENTORY]])/(Table2[[#This Row],[STARTING INVENTORY]])</f>
        <v>0.88764044943820219</v>
      </c>
      <c r="M1057">
        <f>Table2[[#This Row],[STARTING INVENTORY]]-Table2[[#This Row],[ENDING INVENTORY]]</f>
        <v>79</v>
      </c>
    </row>
    <row r="1058" spans="1:13">
      <c r="A1058" t="s">
        <v>13</v>
      </c>
      <c r="B1058" t="s">
        <v>165</v>
      </c>
      <c r="C1058" t="s">
        <v>131</v>
      </c>
      <c r="D1058" t="s">
        <v>33</v>
      </c>
      <c r="E1058" s="3">
        <v>3.4</v>
      </c>
      <c r="F1058" s="3">
        <v>3.536</v>
      </c>
      <c r="G1058">
        <v>2.0099999999999998</v>
      </c>
      <c r="H1058" s="3">
        <v>6.8339999999999987</v>
      </c>
      <c r="I1058">
        <v>94</v>
      </c>
      <c r="J1058">
        <v>2</v>
      </c>
      <c r="K1058">
        <v>88</v>
      </c>
      <c r="L1058" s="13">
        <f>(Table2[[#This Row],[STARTING INVENTORY]]-Table2[[#This Row],[ENDING INVENTORY]])/(Table2[[#This Row],[STARTING INVENTORY]])</f>
        <v>6.3829787234042548E-2</v>
      </c>
      <c r="M1058">
        <f>Table2[[#This Row],[STARTING INVENTORY]]-Table2[[#This Row],[ENDING INVENTORY]]</f>
        <v>6</v>
      </c>
    </row>
    <row r="1059" spans="1:13">
      <c r="A1059" t="s">
        <v>13</v>
      </c>
      <c r="B1059" t="s">
        <v>165</v>
      </c>
      <c r="C1059" t="s">
        <v>137</v>
      </c>
      <c r="D1059" t="s">
        <v>33</v>
      </c>
      <c r="E1059" s="3">
        <v>3.1</v>
      </c>
      <c r="F1059" s="3">
        <v>3.2240000000000002</v>
      </c>
      <c r="G1059">
        <v>2.09</v>
      </c>
      <c r="H1059" s="3">
        <v>6.4790000000000001</v>
      </c>
      <c r="I1059">
        <v>144</v>
      </c>
      <c r="J1059">
        <v>5</v>
      </c>
      <c r="K1059">
        <v>17</v>
      </c>
      <c r="L1059" s="13">
        <f>(Table2[[#This Row],[STARTING INVENTORY]]-Table2[[#This Row],[ENDING INVENTORY]])/(Table2[[#This Row],[STARTING INVENTORY]])</f>
        <v>0.88194444444444442</v>
      </c>
      <c r="M1059">
        <f>Table2[[#This Row],[STARTING INVENTORY]]-Table2[[#This Row],[ENDING INVENTORY]]</f>
        <v>127</v>
      </c>
    </row>
    <row r="1060" spans="1:13">
      <c r="A1060" t="s">
        <v>13</v>
      </c>
      <c r="B1060" t="s">
        <v>165</v>
      </c>
      <c r="C1060" t="s">
        <v>143</v>
      </c>
      <c r="D1060" t="s">
        <v>33</v>
      </c>
      <c r="E1060" s="3">
        <v>1.5</v>
      </c>
      <c r="F1060" s="3">
        <v>1.56</v>
      </c>
      <c r="G1060">
        <v>2.02</v>
      </c>
      <c r="H1060" s="3">
        <v>3.0300000000000002</v>
      </c>
      <c r="I1060">
        <v>96</v>
      </c>
      <c r="J1060">
        <v>4</v>
      </c>
      <c r="K1060">
        <v>18</v>
      </c>
      <c r="L1060" s="13">
        <f>(Table2[[#This Row],[STARTING INVENTORY]]-Table2[[#This Row],[ENDING INVENTORY]])/(Table2[[#This Row],[STARTING INVENTORY]])</f>
        <v>0.8125</v>
      </c>
      <c r="M1060">
        <f>Table2[[#This Row],[STARTING INVENTORY]]-Table2[[#This Row],[ENDING INVENTORY]]</f>
        <v>78</v>
      </c>
    </row>
    <row r="1061" spans="1:13">
      <c r="A1061" t="s">
        <v>13</v>
      </c>
      <c r="B1061" t="s">
        <v>165</v>
      </c>
      <c r="C1061" t="s">
        <v>149</v>
      </c>
      <c r="D1061" t="s">
        <v>33</v>
      </c>
      <c r="E1061" s="3">
        <v>1.9</v>
      </c>
      <c r="F1061" s="3">
        <v>1.976</v>
      </c>
      <c r="G1061">
        <v>2.0300000000000002</v>
      </c>
      <c r="H1061" s="3">
        <v>3.8570000000000002</v>
      </c>
      <c r="I1061">
        <v>64</v>
      </c>
      <c r="J1061">
        <v>6</v>
      </c>
      <c r="K1061">
        <v>22</v>
      </c>
      <c r="L1061" s="13">
        <f>(Table2[[#This Row],[STARTING INVENTORY]]-Table2[[#This Row],[ENDING INVENTORY]])/(Table2[[#This Row],[STARTING INVENTORY]])</f>
        <v>0.65625</v>
      </c>
      <c r="M1061">
        <f>Table2[[#This Row],[STARTING INVENTORY]]-Table2[[#This Row],[ENDING INVENTORY]]</f>
        <v>42</v>
      </c>
    </row>
    <row r="1062" spans="1:13">
      <c r="A1062" t="s">
        <v>13</v>
      </c>
      <c r="B1062" t="s">
        <v>166</v>
      </c>
      <c r="C1062" t="s">
        <v>34</v>
      </c>
      <c r="D1062" t="s">
        <v>33</v>
      </c>
      <c r="E1062" s="3">
        <v>1.3</v>
      </c>
      <c r="F1062" s="3">
        <v>1.3520000000000001</v>
      </c>
      <c r="G1062">
        <v>2.0499999999999998</v>
      </c>
      <c r="H1062" s="3">
        <v>2.665</v>
      </c>
      <c r="I1062">
        <v>122</v>
      </c>
      <c r="J1062">
        <v>1</v>
      </c>
      <c r="K1062">
        <v>54</v>
      </c>
      <c r="L1062" s="13">
        <f>(Table2[[#This Row],[STARTING INVENTORY]]-Table2[[#This Row],[ENDING INVENTORY]])/(Table2[[#This Row],[STARTING INVENTORY]])</f>
        <v>0.55737704918032782</v>
      </c>
      <c r="M1062">
        <f>Table2[[#This Row],[STARTING INVENTORY]]-Table2[[#This Row],[ENDING INVENTORY]]</f>
        <v>68</v>
      </c>
    </row>
    <row r="1063" spans="1:13">
      <c r="A1063" t="s">
        <v>13</v>
      </c>
      <c r="B1063" t="s">
        <v>166</v>
      </c>
      <c r="C1063" t="s">
        <v>40</v>
      </c>
      <c r="D1063" t="s">
        <v>33</v>
      </c>
      <c r="E1063" s="3">
        <v>1.6</v>
      </c>
      <c r="F1063" s="3">
        <v>1.6640000000000001</v>
      </c>
      <c r="G1063">
        <v>2.02</v>
      </c>
      <c r="H1063" s="3">
        <v>3.2320000000000002</v>
      </c>
      <c r="I1063">
        <v>117</v>
      </c>
      <c r="J1063">
        <v>0</v>
      </c>
      <c r="K1063">
        <v>101</v>
      </c>
      <c r="L1063" s="13">
        <f>(Table2[[#This Row],[STARTING INVENTORY]]-Table2[[#This Row],[ENDING INVENTORY]])/(Table2[[#This Row],[STARTING INVENTORY]])</f>
        <v>0.13675213675213677</v>
      </c>
      <c r="M1063">
        <f>Table2[[#This Row],[STARTING INVENTORY]]-Table2[[#This Row],[ENDING INVENTORY]]</f>
        <v>16</v>
      </c>
    </row>
    <row r="1064" spans="1:13">
      <c r="A1064" t="s">
        <v>13</v>
      </c>
      <c r="B1064" t="s">
        <v>166</v>
      </c>
      <c r="C1064" t="s">
        <v>46</v>
      </c>
      <c r="D1064" t="s">
        <v>33</v>
      </c>
      <c r="E1064" s="3">
        <v>1.35</v>
      </c>
      <c r="F1064" s="3">
        <v>1.4040000000000001</v>
      </c>
      <c r="G1064">
        <v>2.1</v>
      </c>
      <c r="H1064" s="3">
        <v>2.8350000000000004</v>
      </c>
      <c r="I1064">
        <v>65</v>
      </c>
      <c r="J1064">
        <v>6</v>
      </c>
      <c r="K1064">
        <v>53</v>
      </c>
      <c r="L1064" s="13">
        <f>(Table2[[#This Row],[STARTING INVENTORY]]-Table2[[#This Row],[ENDING INVENTORY]])/(Table2[[#This Row],[STARTING INVENTORY]])</f>
        <v>0.18461538461538463</v>
      </c>
      <c r="M1064">
        <f>Table2[[#This Row],[STARTING INVENTORY]]-Table2[[#This Row],[ENDING INVENTORY]]</f>
        <v>12</v>
      </c>
    </row>
    <row r="1065" spans="1:13">
      <c r="A1065" t="s">
        <v>13</v>
      </c>
      <c r="B1065" t="s">
        <v>166</v>
      </c>
      <c r="C1065" t="s">
        <v>52</v>
      </c>
      <c r="D1065" t="s">
        <v>33</v>
      </c>
      <c r="E1065" s="3">
        <v>1.6</v>
      </c>
      <c r="F1065" s="3">
        <v>1.6640000000000001</v>
      </c>
      <c r="G1065">
        <v>2.0499999999999998</v>
      </c>
      <c r="H1065" s="3">
        <v>3.28</v>
      </c>
      <c r="I1065">
        <v>101</v>
      </c>
      <c r="J1065">
        <v>3</v>
      </c>
      <c r="K1065">
        <v>81</v>
      </c>
      <c r="L1065" s="13">
        <f>(Table2[[#This Row],[STARTING INVENTORY]]-Table2[[#This Row],[ENDING INVENTORY]])/(Table2[[#This Row],[STARTING INVENTORY]])</f>
        <v>0.19801980198019803</v>
      </c>
      <c r="M1065">
        <f>Table2[[#This Row],[STARTING INVENTORY]]-Table2[[#This Row],[ENDING INVENTORY]]</f>
        <v>20</v>
      </c>
    </row>
    <row r="1066" spans="1:13">
      <c r="A1066" t="s">
        <v>13</v>
      </c>
      <c r="B1066" t="s">
        <v>166</v>
      </c>
      <c r="C1066" t="s">
        <v>58</v>
      </c>
      <c r="D1066" t="s">
        <v>33</v>
      </c>
      <c r="E1066" s="3">
        <v>2.1</v>
      </c>
      <c r="F1066" s="3">
        <v>2.1840000000000002</v>
      </c>
      <c r="G1066">
        <v>1.98</v>
      </c>
      <c r="H1066" s="3">
        <v>4.1580000000000004</v>
      </c>
      <c r="I1066">
        <v>43</v>
      </c>
      <c r="J1066">
        <v>1</v>
      </c>
      <c r="K1066">
        <v>25</v>
      </c>
      <c r="L1066" s="13">
        <f>(Table2[[#This Row],[STARTING INVENTORY]]-Table2[[#This Row],[ENDING INVENTORY]])/(Table2[[#This Row],[STARTING INVENTORY]])</f>
        <v>0.41860465116279072</v>
      </c>
      <c r="M1066">
        <f>Table2[[#This Row],[STARTING INVENTORY]]-Table2[[#This Row],[ENDING INVENTORY]]</f>
        <v>18</v>
      </c>
    </row>
    <row r="1067" spans="1:13">
      <c r="A1067" t="s">
        <v>13</v>
      </c>
      <c r="B1067" t="s">
        <v>166</v>
      </c>
      <c r="C1067" t="s">
        <v>64</v>
      </c>
      <c r="D1067" t="s">
        <v>33</v>
      </c>
      <c r="E1067" s="3">
        <v>1.85</v>
      </c>
      <c r="F1067" s="3">
        <v>1.9240000000000002</v>
      </c>
      <c r="G1067">
        <v>2.0300000000000002</v>
      </c>
      <c r="H1067" s="3">
        <v>3.7555000000000005</v>
      </c>
      <c r="I1067">
        <v>128</v>
      </c>
      <c r="J1067">
        <v>4</v>
      </c>
      <c r="K1067">
        <v>5</v>
      </c>
      <c r="L1067" s="13">
        <f>(Table2[[#This Row],[STARTING INVENTORY]]-Table2[[#This Row],[ENDING INVENTORY]])/(Table2[[#This Row],[STARTING INVENTORY]])</f>
        <v>0.9609375</v>
      </c>
      <c r="M1067">
        <f>Table2[[#This Row],[STARTING INVENTORY]]-Table2[[#This Row],[ENDING INVENTORY]]</f>
        <v>123</v>
      </c>
    </row>
    <row r="1068" spans="1:13">
      <c r="A1068" t="s">
        <v>13</v>
      </c>
      <c r="B1068" t="s">
        <v>166</v>
      </c>
      <c r="C1068" t="s">
        <v>70</v>
      </c>
      <c r="D1068" t="s">
        <v>33</v>
      </c>
      <c r="E1068" s="3">
        <v>1.55</v>
      </c>
      <c r="F1068" s="3">
        <v>1.6120000000000001</v>
      </c>
      <c r="G1068">
        <v>1.99</v>
      </c>
      <c r="H1068" s="3">
        <v>3.0845000000000002</v>
      </c>
      <c r="I1068">
        <v>148</v>
      </c>
      <c r="J1068">
        <v>5</v>
      </c>
      <c r="K1068">
        <v>3</v>
      </c>
      <c r="L1068" s="13">
        <f>(Table2[[#This Row],[STARTING INVENTORY]]-Table2[[#This Row],[ENDING INVENTORY]])/(Table2[[#This Row],[STARTING INVENTORY]])</f>
        <v>0.97972972972972971</v>
      </c>
      <c r="M1068">
        <f>Table2[[#This Row],[STARTING INVENTORY]]-Table2[[#This Row],[ENDING INVENTORY]]</f>
        <v>145</v>
      </c>
    </row>
    <row r="1069" spans="1:13">
      <c r="A1069" t="s">
        <v>13</v>
      </c>
      <c r="B1069" t="s">
        <v>166</v>
      </c>
      <c r="C1069" t="s">
        <v>76</v>
      </c>
      <c r="D1069" t="s">
        <v>33</v>
      </c>
      <c r="E1069" s="3">
        <v>1.55</v>
      </c>
      <c r="F1069" s="3">
        <v>1.6120000000000001</v>
      </c>
      <c r="G1069">
        <v>2.09</v>
      </c>
      <c r="H1069" s="3">
        <v>3.2395</v>
      </c>
      <c r="I1069">
        <v>81</v>
      </c>
      <c r="J1069">
        <v>3</v>
      </c>
      <c r="K1069">
        <v>28</v>
      </c>
      <c r="L1069" s="13">
        <f>(Table2[[#This Row],[STARTING INVENTORY]]-Table2[[#This Row],[ENDING INVENTORY]])/(Table2[[#This Row],[STARTING INVENTORY]])</f>
        <v>0.65432098765432101</v>
      </c>
      <c r="M1069">
        <f>Table2[[#This Row],[STARTING INVENTORY]]-Table2[[#This Row],[ENDING INVENTORY]]</f>
        <v>53</v>
      </c>
    </row>
    <row r="1070" spans="1:13">
      <c r="A1070" t="s">
        <v>13</v>
      </c>
      <c r="B1070" t="s">
        <v>166</v>
      </c>
      <c r="C1070" t="s">
        <v>82</v>
      </c>
      <c r="D1070" t="s">
        <v>33</v>
      </c>
      <c r="E1070" s="3">
        <v>1.75</v>
      </c>
      <c r="F1070" s="3">
        <v>1.82</v>
      </c>
      <c r="G1070">
        <v>2.1</v>
      </c>
      <c r="H1070" s="3">
        <v>3.6750000000000003</v>
      </c>
      <c r="I1070">
        <v>128</v>
      </c>
      <c r="J1070">
        <v>3</v>
      </c>
      <c r="K1070">
        <v>58</v>
      </c>
      <c r="L1070" s="13">
        <f>(Table2[[#This Row],[STARTING INVENTORY]]-Table2[[#This Row],[ENDING INVENTORY]])/(Table2[[#This Row],[STARTING INVENTORY]])</f>
        <v>0.546875</v>
      </c>
      <c r="M1070">
        <f>Table2[[#This Row],[STARTING INVENTORY]]-Table2[[#This Row],[ENDING INVENTORY]]</f>
        <v>70</v>
      </c>
    </row>
    <row r="1071" spans="1:13">
      <c r="A1071" t="s">
        <v>13</v>
      </c>
      <c r="B1071" t="s">
        <v>166</v>
      </c>
      <c r="C1071" t="s">
        <v>88</v>
      </c>
      <c r="D1071" t="s">
        <v>33</v>
      </c>
      <c r="E1071" s="3">
        <v>2.2000000000000002</v>
      </c>
      <c r="F1071" s="3">
        <v>2.2880000000000003</v>
      </c>
      <c r="G1071">
        <v>2.06</v>
      </c>
      <c r="H1071" s="3">
        <v>4.5320000000000009</v>
      </c>
      <c r="I1071">
        <v>57</v>
      </c>
      <c r="J1071">
        <v>1</v>
      </c>
      <c r="K1071">
        <v>33</v>
      </c>
      <c r="L1071" s="13">
        <f>(Table2[[#This Row],[STARTING INVENTORY]]-Table2[[#This Row],[ENDING INVENTORY]])/(Table2[[#This Row],[STARTING INVENTORY]])</f>
        <v>0.42105263157894735</v>
      </c>
      <c r="M1071">
        <f>Table2[[#This Row],[STARTING INVENTORY]]-Table2[[#This Row],[ENDING INVENTORY]]</f>
        <v>24</v>
      </c>
    </row>
    <row r="1072" spans="1:13">
      <c r="A1072" t="s">
        <v>13</v>
      </c>
      <c r="B1072" t="s">
        <v>166</v>
      </c>
      <c r="C1072" t="s">
        <v>94</v>
      </c>
      <c r="D1072" t="s">
        <v>33</v>
      </c>
      <c r="E1072" s="3">
        <v>2.75</v>
      </c>
      <c r="F1072" s="3">
        <v>2.8600000000000003</v>
      </c>
      <c r="G1072">
        <v>2.09</v>
      </c>
      <c r="H1072" s="3">
        <v>5.7474999999999996</v>
      </c>
      <c r="I1072">
        <v>79</v>
      </c>
      <c r="J1072">
        <v>2</v>
      </c>
      <c r="K1072">
        <v>16</v>
      </c>
      <c r="L1072" s="13">
        <f>(Table2[[#This Row],[STARTING INVENTORY]]-Table2[[#This Row],[ENDING INVENTORY]])/(Table2[[#This Row],[STARTING INVENTORY]])</f>
        <v>0.79746835443037978</v>
      </c>
      <c r="M1072">
        <f>Table2[[#This Row],[STARTING INVENTORY]]-Table2[[#This Row],[ENDING INVENTORY]]</f>
        <v>63</v>
      </c>
    </row>
    <row r="1073" spans="1:13">
      <c r="A1073" t="s">
        <v>13</v>
      </c>
      <c r="B1073" t="s">
        <v>166</v>
      </c>
      <c r="C1073" t="s">
        <v>100</v>
      </c>
      <c r="D1073" t="s">
        <v>33</v>
      </c>
      <c r="E1073" s="3">
        <v>2.4</v>
      </c>
      <c r="F1073" s="3">
        <v>2.496</v>
      </c>
      <c r="G1073">
        <v>2.02</v>
      </c>
      <c r="H1073" s="3">
        <v>4.8479999999999999</v>
      </c>
      <c r="I1073">
        <v>111</v>
      </c>
      <c r="J1073">
        <v>2</v>
      </c>
      <c r="K1073">
        <v>106</v>
      </c>
      <c r="L1073" s="13">
        <f>(Table2[[#This Row],[STARTING INVENTORY]]-Table2[[#This Row],[ENDING INVENTORY]])/(Table2[[#This Row],[STARTING INVENTORY]])</f>
        <v>4.5045045045045043E-2</v>
      </c>
      <c r="M1073">
        <f>Table2[[#This Row],[STARTING INVENTORY]]-Table2[[#This Row],[ENDING INVENTORY]]</f>
        <v>5</v>
      </c>
    </row>
    <row r="1074" spans="1:13">
      <c r="A1074" t="s">
        <v>13</v>
      </c>
      <c r="B1074" t="s">
        <v>166</v>
      </c>
      <c r="C1074" t="s">
        <v>106</v>
      </c>
      <c r="D1074" t="s">
        <v>33</v>
      </c>
      <c r="E1074" s="3">
        <v>2.7</v>
      </c>
      <c r="F1074" s="3">
        <v>2.8080000000000003</v>
      </c>
      <c r="G1074">
        <v>1.97</v>
      </c>
      <c r="H1074" s="3">
        <v>5.319</v>
      </c>
      <c r="I1074">
        <v>78</v>
      </c>
      <c r="J1074">
        <v>5</v>
      </c>
      <c r="K1074">
        <v>42</v>
      </c>
      <c r="L1074" s="13">
        <f>(Table2[[#This Row],[STARTING INVENTORY]]-Table2[[#This Row],[ENDING INVENTORY]])/(Table2[[#This Row],[STARTING INVENTORY]])</f>
        <v>0.46153846153846156</v>
      </c>
      <c r="M1074">
        <f>Table2[[#This Row],[STARTING INVENTORY]]-Table2[[#This Row],[ENDING INVENTORY]]</f>
        <v>36</v>
      </c>
    </row>
    <row r="1075" spans="1:13">
      <c r="A1075" t="s">
        <v>13</v>
      </c>
      <c r="B1075" t="s">
        <v>166</v>
      </c>
      <c r="C1075" t="s">
        <v>112</v>
      </c>
      <c r="D1075" t="s">
        <v>33</v>
      </c>
      <c r="E1075" s="3">
        <v>2.6</v>
      </c>
      <c r="F1075" s="3">
        <v>2.7040000000000002</v>
      </c>
      <c r="G1075">
        <v>2.08</v>
      </c>
      <c r="H1075" s="3">
        <v>5.4080000000000004</v>
      </c>
      <c r="I1075">
        <v>143</v>
      </c>
      <c r="J1075">
        <v>5</v>
      </c>
      <c r="K1075">
        <v>79</v>
      </c>
      <c r="L1075" s="13">
        <f>(Table2[[#This Row],[STARTING INVENTORY]]-Table2[[#This Row],[ENDING INVENTORY]])/(Table2[[#This Row],[STARTING INVENTORY]])</f>
        <v>0.44755244755244755</v>
      </c>
      <c r="M1075">
        <f>Table2[[#This Row],[STARTING INVENTORY]]-Table2[[#This Row],[ENDING INVENTORY]]</f>
        <v>64</v>
      </c>
    </row>
    <row r="1076" spans="1:13">
      <c r="A1076" t="s">
        <v>13</v>
      </c>
      <c r="B1076" t="s">
        <v>166</v>
      </c>
      <c r="C1076" t="s">
        <v>118</v>
      </c>
      <c r="D1076" t="s">
        <v>33</v>
      </c>
      <c r="E1076" s="3">
        <v>4</v>
      </c>
      <c r="F1076" s="3">
        <v>4.16</v>
      </c>
      <c r="G1076">
        <v>1.97</v>
      </c>
      <c r="H1076" s="3">
        <v>7.88</v>
      </c>
      <c r="I1076">
        <v>53</v>
      </c>
      <c r="J1076">
        <v>5</v>
      </c>
      <c r="K1076">
        <v>1</v>
      </c>
      <c r="L1076" s="13">
        <f>(Table2[[#This Row],[STARTING INVENTORY]]-Table2[[#This Row],[ENDING INVENTORY]])/(Table2[[#This Row],[STARTING INVENTORY]])</f>
        <v>0.98113207547169812</v>
      </c>
      <c r="M1076">
        <f>Table2[[#This Row],[STARTING INVENTORY]]-Table2[[#This Row],[ENDING INVENTORY]]</f>
        <v>52</v>
      </c>
    </row>
    <row r="1077" spans="1:13">
      <c r="A1077" t="s">
        <v>13</v>
      </c>
      <c r="B1077" t="s">
        <v>166</v>
      </c>
      <c r="C1077" t="s">
        <v>124</v>
      </c>
      <c r="D1077" t="s">
        <v>33</v>
      </c>
      <c r="E1077" s="3">
        <v>4.25</v>
      </c>
      <c r="F1077" s="3">
        <v>4.42</v>
      </c>
      <c r="G1077">
        <v>2.0499999999999998</v>
      </c>
      <c r="H1077" s="3">
        <v>8.7124999999999986</v>
      </c>
      <c r="I1077">
        <v>71</v>
      </c>
      <c r="J1077">
        <v>0</v>
      </c>
      <c r="K1077">
        <v>33</v>
      </c>
      <c r="L1077" s="13">
        <f>(Table2[[#This Row],[STARTING INVENTORY]]-Table2[[#This Row],[ENDING INVENTORY]])/(Table2[[#This Row],[STARTING INVENTORY]])</f>
        <v>0.53521126760563376</v>
      </c>
      <c r="M1077">
        <f>Table2[[#This Row],[STARTING INVENTORY]]-Table2[[#This Row],[ENDING INVENTORY]]</f>
        <v>38</v>
      </c>
    </row>
    <row r="1078" spans="1:13">
      <c r="A1078" t="s">
        <v>13</v>
      </c>
      <c r="B1078" t="s">
        <v>166</v>
      </c>
      <c r="C1078" t="s">
        <v>130</v>
      </c>
      <c r="D1078" t="s">
        <v>33</v>
      </c>
      <c r="E1078" s="3">
        <v>5</v>
      </c>
      <c r="F1078" s="3">
        <v>5.2</v>
      </c>
      <c r="G1078">
        <v>2.09</v>
      </c>
      <c r="H1078" s="3">
        <v>10.45</v>
      </c>
      <c r="I1078">
        <v>90</v>
      </c>
      <c r="J1078">
        <v>4</v>
      </c>
      <c r="K1078">
        <v>7</v>
      </c>
      <c r="L1078" s="13">
        <f>(Table2[[#This Row],[STARTING INVENTORY]]-Table2[[#This Row],[ENDING INVENTORY]])/(Table2[[#This Row],[STARTING INVENTORY]])</f>
        <v>0.92222222222222228</v>
      </c>
      <c r="M1078">
        <f>Table2[[#This Row],[STARTING INVENTORY]]-Table2[[#This Row],[ENDING INVENTORY]]</f>
        <v>83</v>
      </c>
    </row>
    <row r="1079" spans="1:13">
      <c r="A1079" t="s">
        <v>13</v>
      </c>
      <c r="B1079" t="s">
        <v>166</v>
      </c>
      <c r="C1079" t="s">
        <v>136</v>
      </c>
      <c r="D1079" t="s">
        <v>33</v>
      </c>
      <c r="E1079" s="3">
        <v>3</v>
      </c>
      <c r="F1079" s="3">
        <v>3.12</v>
      </c>
      <c r="G1079">
        <v>1.95</v>
      </c>
      <c r="H1079" s="3">
        <v>5.85</v>
      </c>
      <c r="I1079">
        <v>77</v>
      </c>
      <c r="J1079">
        <v>4</v>
      </c>
      <c r="K1079">
        <v>12</v>
      </c>
      <c r="L1079" s="13">
        <f>(Table2[[#This Row],[STARTING INVENTORY]]-Table2[[#This Row],[ENDING INVENTORY]])/(Table2[[#This Row],[STARTING INVENTORY]])</f>
        <v>0.8441558441558441</v>
      </c>
      <c r="M1079">
        <f>Table2[[#This Row],[STARTING INVENTORY]]-Table2[[#This Row],[ENDING INVENTORY]]</f>
        <v>65</v>
      </c>
    </row>
    <row r="1080" spans="1:13">
      <c r="A1080" t="s">
        <v>13</v>
      </c>
      <c r="B1080" t="s">
        <v>166</v>
      </c>
      <c r="C1080" t="s">
        <v>142</v>
      </c>
      <c r="D1080" t="s">
        <v>33</v>
      </c>
      <c r="E1080" s="3">
        <v>2.4</v>
      </c>
      <c r="F1080" s="3">
        <v>2.496</v>
      </c>
      <c r="G1080">
        <v>2.02</v>
      </c>
      <c r="H1080" s="3">
        <v>4.8479999999999999</v>
      </c>
      <c r="I1080">
        <v>136</v>
      </c>
      <c r="J1080">
        <v>3</v>
      </c>
      <c r="K1080">
        <v>105</v>
      </c>
      <c r="L1080" s="13">
        <f>(Table2[[#This Row],[STARTING INVENTORY]]-Table2[[#This Row],[ENDING INVENTORY]])/(Table2[[#This Row],[STARTING INVENTORY]])</f>
        <v>0.22794117647058823</v>
      </c>
      <c r="M1080">
        <f>Table2[[#This Row],[STARTING INVENTORY]]-Table2[[#This Row],[ENDING INVENTORY]]</f>
        <v>31</v>
      </c>
    </row>
    <row r="1081" spans="1:13">
      <c r="A1081" t="s">
        <v>13</v>
      </c>
      <c r="B1081" t="s">
        <v>166</v>
      </c>
      <c r="C1081" t="s">
        <v>148</v>
      </c>
      <c r="D1081" t="s">
        <v>33</v>
      </c>
      <c r="E1081" s="3">
        <v>3.25</v>
      </c>
      <c r="F1081" s="3">
        <v>3.38</v>
      </c>
      <c r="G1081">
        <v>2.1</v>
      </c>
      <c r="H1081" s="3">
        <v>6.8250000000000002</v>
      </c>
      <c r="I1081">
        <v>62</v>
      </c>
      <c r="J1081">
        <v>4</v>
      </c>
      <c r="K1081">
        <v>7</v>
      </c>
      <c r="L1081" s="13">
        <f>(Table2[[#This Row],[STARTING INVENTORY]]-Table2[[#This Row],[ENDING INVENTORY]])/(Table2[[#This Row],[STARTING INVENTORY]])</f>
        <v>0.88709677419354838</v>
      </c>
      <c r="M1081">
        <f>Table2[[#This Row],[STARTING INVENTORY]]-Table2[[#This Row],[ENDING INVENTORY]]</f>
        <v>55</v>
      </c>
    </row>
    <row r="1082" spans="1:13">
      <c r="A1082" t="s">
        <v>14</v>
      </c>
      <c r="B1082" t="s">
        <v>161</v>
      </c>
      <c r="C1082" t="s">
        <v>28</v>
      </c>
      <c r="D1082" t="s">
        <v>29</v>
      </c>
      <c r="E1082" s="3">
        <v>0.35</v>
      </c>
      <c r="F1082" s="3">
        <v>0.35349999999999998</v>
      </c>
      <c r="G1082">
        <v>2.0499999999999998</v>
      </c>
      <c r="H1082" s="3">
        <v>0.71749999999999992</v>
      </c>
      <c r="I1082">
        <v>112</v>
      </c>
      <c r="J1082">
        <v>5</v>
      </c>
      <c r="K1082">
        <v>93</v>
      </c>
      <c r="L1082" s="13">
        <f>(Table2[[#This Row],[STARTING INVENTORY]]-Table2[[#This Row],[ENDING INVENTORY]])/(Table2[[#This Row],[STARTING INVENTORY]])</f>
        <v>0.16964285714285715</v>
      </c>
      <c r="M1082">
        <f>Table2[[#This Row],[STARTING INVENTORY]]-Table2[[#This Row],[ENDING INVENTORY]]</f>
        <v>19</v>
      </c>
    </row>
    <row r="1083" spans="1:13">
      <c r="A1083" t="s">
        <v>14</v>
      </c>
      <c r="B1083" t="s">
        <v>161</v>
      </c>
      <c r="C1083" t="s">
        <v>36</v>
      </c>
      <c r="D1083" t="s">
        <v>29</v>
      </c>
      <c r="E1083" s="3">
        <v>0.85</v>
      </c>
      <c r="F1083" s="3">
        <v>0.85849999999999993</v>
      </c>
      <c r="G1083">
        <v>2.08</v>
      </c>
      <c r="H1083" s="3">
        <v>1.768</v>
      </c>
      <c r="I1083">
        <v>192</v>
      </c>
      <c r="J1083">
        <v>2</v>
      </c>
      <c r="K1083">
        <v>95</v>
      </c>
      <c r="L1083" s="13">
        <f>(Table2[[#This Row],[STARTING INVENTORY]]-Table2[[#This Row],[ENDING INVENTORY]])/(Table2[[#This Row],[STARTING INVENTORY]])</f>
        <v>0.50520833333333337</v>
      </c>
      <c r="M1083">
        <f>Table2[[#This Row],[STARTING INVENTORY]]-Table2[[#This Row],[ENDING INVENTORY]]</f>
        <v>97</v>
      </c>
    </row>
    <row r="1084" spans="1:13">
      <c r="A1084" t="s">
        <v>14</v>
      </c>
      <c r="B1084" t="s">
        <v>161</v>
      </c>
      <c r="C1084" t="s">
        <v>42</v>
      </c>
      <c r="D1084" t="s">
        <v>29</v>
      </c>
      <c r="E1084" s="3">
        <v>0.7</v>
      </c>
      <c r="F1084" s="3">
        <v>0.70699999999999996</v>
      </c>
      <c r="G1084">
        <v>2.0700000000000003</v>
      </c>
      <c r="H1084" s="3">
        <v>1.4490000000000001</v>
      </c>
      <c r="I1084">
        <v>194</v>
      </c>
      <c r="J1084">
        <v>2</v>
      </c>
      <c r="K1084">
        <v>93</v>
      </c>
      <c r="L1084" s="13">
        <f>(Table2[[#This Row],[STARTING INVENTORY]]-Table2[[#This Row],[ENDING INVENTORY]])/(Table2[[#This Row],[STARTING INVENTORY]])</f>
        <v>0.52061855670103097</v>
      </c>
      <c r="M1084">
        <f>Table2[[#This Row],[STARTING INVENTORY]]-Table2[[#This Row],[ENDING INVENTORY]]</f>
        <v>101</v>
      </c>
    </row>
    <row r="1085" spans="1:13">
      <c r="A1085" t="s">
        <v>14</v>
      </c>
      <c r="B1085" t="s">
        <v>161</v>
      </c>
      <c r="C1085" t="s">
        <v>48</v>
      </c>
      <c r="D1085" t="s">
        <v>33</v>
      </c>
      <c r="E1085" s="3">
        <v>0.35</v>
      </c>
      <c r="F1085" s="3">
        <v>0.35349999999999998</v>
      </c>
      <c r="G1085">
        <v>1.95</v>
      </c>
      <c r="H1085" s="3">
        <v>0.6825</v>
      </c>
      <c r="I1085">
        <v>102</v>
      </c>
      <c r="J1085">
        <v>0</v>
      </c>
      <c r="K1085">
        <v>64</v>
      </c>
      <c r="L1085" s="13">
        <f>(Table2[[#This Row],[STARTING INVENTORY]]-Table2[[#This Row],[ENDING INVENTORY]])/(Table2[[#This Row],[STARTING INVENTORY]])</f>
        <v>0.37254901960784315</v>
      </c>
      <c r="M1085">
        <f>Table2[[#This Row],[STARTING INVENTORY]]-Table2[[#This Row],[ENDING INVENTORY]]</f>
        <v>38</v>
      </c>
    </row>
    <row r="1086" spans="1:13">
      <c r="A1086" t="s">
        <v>14</v>
      </c>
      <c r="B1086" t="s">
        <v>161</v>
      </c>
      <c r="C1086" t="s">
        <v>54</v>
      </c>
      <c r="D1086" t="s">
        <v>33</v>
      </c>
      <c r="E1086" s="3">
        <v>0.2</v>
      </c>
      <c r="F1086" s="3">
        <v>0.20200000000000001</v>
      </c>
      <c r="G1086">
        <v>1.95</v>
      </c>
      <c r="H1086" s="3">
        <v>0.39</v>
      </c>
      <c r="I1086">
        <v>153</v>
      </c>
      <c r="J1086">
        <v>1</v>
      </c>
      <c r="K1086">
        <v>38</v>
      </c>
      <c r="L1086" s="13">
        <f>(Table2[[#This Row],[STARTING INVENTORY]]-Table2[[#This Row],[ENDING INVENTORY]])/(Table2[[#This Row],[STARTING INVENTORY]])</f>
        <v>0.75163398692810457</v>
      </c>
      <c r="M1086">
        <f>Table2[[#This Row],[STARTING INVENTORY]]-Table2[[#This Row],[ENDING INVENTORY]]</f>
        <v>115</v>
      </c>
    </row>
    <row r="1087" spans="1:13">
      <c r="A1087" t="s">
        <v>14</v>
      </c>
      <c r="B1087" t="s">
        <v>161</v>
      </c>
      <c r="C1087" t="s">
        <v>60</v>
      </c>
      <c r="D1087" t="s">
        <v>33</v>
      </c>
      <c r="E1087" s="3">
        <v>0.75</v>
      </c>
      <c r="F1087" s="3">
        <v>0.75750000000000006</v>
      </c>
      <c r="G1087">
        <v>2.0300000000000002</v>
      </c>
      <c r="H1087" s="3">
        <v>1.5225000000000002</v>
      </c>
      <c r="I1087">
        <v>153</v>
      </c>
      <c r="J1087">
        <v>3</v>
      </c>
      <c r="K1087">
        <v>80</v>
      </c>
      <c r="L1087" s="13">
        <f>(Table2[[#This Row],[STARTING INVENTORY]]-Table2[[#This Row],[ENDING INVENTORY]])/(Table2[[#This Row],[STARTING INVENTORY]])</f>
        <v>0.47712418300653597</v>
      </c>
      <c r="M1087">
        <f>Table2[[#This Row],[STARTING INVENTORY]]-Table2[[#This Row],[ENDING INVENTORY]]</f>
        <v>73</v>
      </c>
    </row>
    <row r="1088" spans="1:13">
      <c r="A1088" t="s">
        <v>14</v>
      </c>
      <c r="B1088" t="s">
        <v>161</v>
      </c>
      <c r="C1088" t="s">
        <v>66</v>
      </c>
      <c r="D1088" t="s">
        <v>29</v>
      </c>
      <c r="E1088" s="3">
        <v>0.6</v>
      </c>
      <c r="F1088" s="3">
        <v>0.60599999999999998</v>
      </c>
      <c r="G1088">
        <v>2.09</v>
      </c>
      <c r="H1088" s="3">
        <v>1.2539999999999998</v>
      </c>
      <c r="I1088">
        <v>88</v>
      </c>
      <c r="J1088">
        <v>5</v>
      </c>
      <c r="K1088">
        <v>58</v>
      </c>
      <c r="L1088" s="13">
        <f>(Table2[[#This Row],[STARTING INVENTORY]]-Table2[[#This Row],[ENDING INVENTORY]])/(Table2[[#This Row],[STARTING INVENTORY]])</f>
        <v>0.34090909090909088</v>
      </c>
      <c r="M1088">
        <f>Table2[[#This Row],[STARTING INVENTORY]]-Table2[[#This Row],[ENDING INVENTORY]]</f>
        <v>30</v>
      </c>
    </row>
    <row r="1089" spans="1:13">
      <c r="A1089" t="s">
        <v>14</v>
      </c>
      <c r="B1089" t="s">
        <v>161</v>
      </c>
      <c r="C1089" t="s">
        <v>72</v>
      </c>
      <c r="D1089" t="s">
        <v>29</v>
      </c>
      <c r="E1089" s="3">
        <v>0.45</v>
      </c>
      <c r="F1089" s="3">
        <v>0.45450000000000002</v>
      </c>
      <c r="G1089">
        <v>2.08</v>
      </c>
      <c r="H1089" s="3">
        <v>0.93600000000000005</v>
      </c>
      <c r="I1089">
        <v>183</v>
      </c>
      <c r="J1089">
        <v>0</v>
      </c>
      <c r="K1089">
        <v>83</v>
      </c>
      <c r="L1089" s="13">
        <f>(Table2[[#This Row],[STARTING INVENTORY]]-Table2[[#This Row],[ENDING INVENTORY]])/(Table2[[#This Row],[STARTING INVENTORY]])</f>
        <v>0.54644808743169404</v>
      </c>
      <c r="M1089">
        <f>Table2[[#This Row],[STARTING INVENTORY]]-Table2[[#This Row],[ENDING INVENTORY]]</f>
        <v>100</v>
      </c>
    </row>
    <row r="1090" spans="1:13">
      <c r="A1090" t="s">
        <v>14</v>
      </c>
      <c r="B1090" t="s">
        <v>161</v>
      </c>
      <c r="C1090" t="s">
        <v>78</v>
      </c>
      <c r="D1090" t="s">
        <v>29</v>
      </c>
      <c r="E1090" s="3">
        <v>0.4</v>
      </c>
      <c r="F1090" s="3">
        <v>0.40400000000000003</v>
      </c>
      <c r="G1090">
        <v>1.95</v>
      </c>
      <c r="H1090" s="3">
        <v>0.78</v>
      </c>
      <c r="I1090">
        <v>116</v>
      </c>
      <c r="J1090">
        <v>0</v>
      </c>
      <c r="K1090">
        <v>87</v>
      </c>
      <c r="L1090" s="13">
        <f>(Table2[[#This Row],[STARTING INVENTORY]]-Table2[[#This Row],[ENDING INVENTORY]])/(Table2[[#This Row],[STARTING INVENTORY]])</f>
        <v>0.25</v>
      </c>
      <c r="M1090">
        <f>Table2[[#This Row],[STARTING INVENTORY]]-Table2[[#This Row],[ENDING INVENTORY]]</f>
        <v>29</v>
      </c>
    </row>
    <row r="1091" spans="1:13">
      <c r="A1091" t="s">
        <v>14</v>
      </c>
      <c r="B1091" t="s">
        <v>161</v>
      </c>
      <c r="C1091" t="s">
        <v>84</v>
      </c>
      <c r="D1091" t="s">
        <v>29</v>
      </c>
      <c r="E1091" s="3">
        <v>0.35</v>
      </c>
      <c r="F1091" s="3">
        <v>0.35349999999999998</v>
      </c>
      <c r="G1091">
        <v>2.0700000000000003</v>
      </c>
      <c r="H1091" s="3">
        <v>0.72450000000000003</v>
      </c>
      <c r="I1091">
        <v>184</v>
      </c>
      <c r="J1091">
        <v>3</v>
      </c>
      <c r="K1091">
        <v>85</v>
      </c>
      <c r="L1091" s="13">
        <f>(Table2[[#This Row],[STARTING INVENTORY]]-Table2[[#This Row],[ENDING INVENTORY]])/(Table2[[#This Row],[STARTING INVENTORY]])</f>
        <v>0.53804347826086951</v>
      </c>
      <c r="M1091">
        <f>Table2[[#This Row],[STARTING INVENTORY]]-Table2[[#This Row],[ENDING INVENTORY]]</f>
        <v>99</v>
      </c>
    </row>
    <row r="1092" spans="1:13">
      <c r="A1092" t="s">
        <v>14</v>
      </c>
      <c r="B1092" t="s">
        <v>161</v>
      </c>
      <c r="C1092" t="s">
        <v>90</v>
      </c>
      <c r="D1092" t="s">
        <v>29</v>
      </c>
      <c r="E1092" s="3">
        <v>0.9</v>
      </c>
      <c r="F1092" s="3">
        <v>0.90900000000000003</v>
      </c>
      <c r="G1092">
        <v>2</v>
      </c>
      <c r="H1092" s="3">
        <v>1.8</v>
      </c>
      <c r="I1092">
        <v>91</v>
      </c>
      <c r="J1092">
        <v>0</v>
      </c>
      <c r="K1092">
        <v>85</v>
      </c>
      <c r="L1092" s="13">
        <f>(Table2[[#This Row],[STARTING INVENTORY]]-Table2[[#This Row],[ENDING INVENTORY]])/(Table2[[#This Row],[STARTING INVENTORY]])</f>
        <v>6.5934065934065936E-2</v>
      </c>
      <c r="M1092">
        <f>Table2[[#This Row],[STARTING INVENTORY]]-Table2[[#This Row],[ENDING INVENTORY]]</f>
        <v>6</v>
      </c>
    </row>
    <row r="1093" spans="1:13">
      <c r="A1093" t="s">
        <v>14</v>
      </c>
      <c r="B1093" t="s">
        <v>161</v>
      </c>
      <c r="C1093" t="s">
        <v>96</v>
      </c>
      <c r="D1093" t="s">
        <v>33</v>
      </c>
      <c r="E1093" s="3">
        <v>1</v>
      </c>
      <c r="F1093" s="3">
        <v>1.01</v>
      </c>
      <c r="G1093">
        <v>1.96</v>
      </c>
      <c r="H1093" s="3">
        <v>1.96</v>
      </c>
      <c r="I1093">
        <v>64</v>
      </c>
      <c r="J1093">
        <v>0</v>
      </c>
      <c r="K1093">
        <v>43</v>
      </c>
      <c r="L1093" s="13">
        <f>(Table2[[#This Row],[STARTING INVENTORY]]-Table2[[#This Row],[ENDING INVENTORY]])/(Table2[[#This Row],[STARTING INVENTORY]])</f>
        <v>0.328125</v>
      </c>
      <c r="M1093">
        <f>Table2[[#This Row],[STARTING INVENTORY]]-Table2[[#This Row],[ENDING INVENTORY]]</f>
        <v>21</v>
      </c>
    </row>
    <row r="1094" spans="1:13">
      <c r="A1094" t="s">
        <v>14</v>
      </c>
      <c r="B1094" t="s">
        <v>161</v>
      </c>
      <c r="C1094" t="s">
        <v>102</v>
      </c>
      <c r="D1094" t="s">
        <v>29</v>
      </c>
      <c r="E1094" s="3">
        <v>2.56</v>
      </c>
      <c r="F1094" s="3">
        <v>2.5855999999999999</v>
      </c>
      <c r="G1094">
        <v>1.99</v>
      </c>
      <c r="H1094" s="3">
        <v>5.0944000000000003</v>
      </c>
      <c r="I1094">
        <v>160</v>
      </c>
      <c r="J1094">
        <v>0</v>
      </c>
      <c r="K1094">
        <v>136</v>
      </c>
      <c r="L1094" s="13">
        <f>(Table2[[#This Row],[STARTING INVENTORY]]-Table2[[#This Row],[ENDING INVENTORY]])/(Table2[[#This Row],[STARTING INVENTORY]])</f>
        <v>0.15</v>
      </c>
      <c r="M1094">
        <f>Table2[[#This Row],[STARTING INVENTORY]]-Table2[[#This Row],[ENDING INVENTORY]]</f>
        <v>24</v>
      </c>
    </row>
    <row r="1095" spans="1:13">
      <c r="A1095" t="s">
        <v>14</v>
      </c>
      <c r="B1095" t="s">
        <v>161</v>
      </c>
      <c r="C1095" t="s">
        <v>108</v>
      </c>
      <c r="D1095" t="s">
        <v>29</v>
      </c>
      <c r="E1095" s="3">
        <v>0.75</v>
      </c>
      <c r="F1095" s="3">
        <v>0.75750000000000006</v>
      </c>
      <c r="G1095">
        <v>2.08</v>
      </c>
      <c r="H1095" s="3">
        <v>1.56</v>
      </c>
      <c r="I1095">
        <v>82</v>
      </c>
      <c r="J1095">
        <v>0</v>
      </c>
      <c r="K1095">
        <v>36</v>
      </c>
      <c r="L1095" s="13">
        <f>(Table2[[#This Row],[STARTING INVENTORY]]-Table2[[#This Row],[ENDING INVENTORY]])/(Table2[[#This Row],[STARTING INVENTORY]])</f>
        <v>0.56097560975609762</v>
      </c>
      <c r="M1095">
        <f>Table2[[#This Row],[STARTING INVENTORY]]-Table2[[#This Row],[ENDING INVENTORY]]</f>
        <v>46</v>
      </c>
    </row>
    <row r="1096" spans="1:13">
      <c r="A1096" t="s">
        <v>14</v>
      </c>
      <c r="B1096" t="s">
        <v>161</v>
      </c>
      <c r="C1096" t="s">
        <v>114</v>
      </c>
      <c r="D1096" t="s">
        <v>33</v>
      </c>
      <c r="E1096" s="3">
        <v>0.4</v>
      </c>
      <c r="F1096" s="3">
        <v>0.40400000000000003</v>
      </c>
      <c r="G1096">
        <v>2</v>
      </c>
      <c r="H1096" s="3">
        <v>0.8</v>
      </c>
      <c r="I1096">
        <v>87</v>
      </c>
      <c r="J1096">
        <v>0</v>
      </c>
      <c r="K1096">
        <v>73</v>
      </c>
      <c r="L1096" s="13">
        <f>(Table2[[#This Row],[STARTING INVENTORY]]-Table2[[#This Row],[ENDING INVENTORY]])/(Table2[[#This Row],[STARTING INVENTORY]])</f>
        <v>0.16091954022988506</v>
      </c>
      <c r="M1096">
        <f>Table2[[#This Row],[STARTING INVENTORY]]-Table2[[#This Row],[ENDING INVENTORY]]</f>
        <v>14</v>
      </c>
    </row>
    <row r="1097" spans="1:13">
      <c r="A1097" t="s">
        <v>14</v>
      </c>
      <c r="B1097" t="s">
        <v>161</v>
      </c>
      <c r="C1097" t="s">
        <v>120</v>
      </c>
      <c r="D1097" t="s">
        <v>29</v>
      </c>
      <c r="E1097" s="3">
        <v>1.4</v>
      </c>
      <c r="F1097" s="3">
        <v>1.4139999999999999</v>
      </c>
      <c r="G1097">
        <v>2.0700000000000003</v>
      </c>
      <c r="H1097" s="3">
        <v>2.8980000000000001</v>
      </c>
      <c r="I1097">
        <v>146</v>
      </c>
      <c r="J1097">
        <v>1</v>
      </c>
      <c r="K1097">
        <v>35</v>
      </c>
      <c r="L1097" s="13">
        <f>(Table2[[#This Row],[STARTING INVENTORY]]-Table2[[#This Row],[ENDING INVENTORY]])/(Table2[[#This Row],[STARTING INVENTORY]])</f>
        <v>0.76027397260273977</v>
      </c>
      <c r="M1097">
        <f>Table2[[#This Row],[STARTING INVENTORY]]-Table2[[#This Row],[ENDING INVENTORY]]</f>
        <v>111</v>
      </c>
    </row>
    <row r="1098" spans="1:13">
      <c r="A1098" t="s">
        <v>14</v>
      </c>
      <c r="B1098" t="s">
        <v>161</v>
      </c>
      <c r="C1098" t="s">
        <v>126</v>
      </c>
      <c r="D1098" t="s">
        <v>29</v>
      </c>
      <c r="E1098" s="3">
        <v>2</v>
      </c>
      <c r="F1098" s="3">
        <v>2.02</v>
      </c>
      <c r="G1098">
        <v>2.0300000000000002</v>
      </c>
      <c r="H1098" s="3">
        <v>4.0600000000000005</v>
      </c>
      <c r="I1098">
        <v>82</v>
      </c>
      <c r="J1098">
        <v>1</v>
      </c>
      <c r="K1098">
        <v>27</v>
      </c>
      <c r="L1098" s="13">
        <f>(Table2[[#This Row],[STARTING INVENTORY]]-Table2[[#This Row],[ENDING INVENTORY]])/(Table2[[#This Row],[STARTING INVENTORY]])</f>
        <v>0.67073170731707321</v>
      </c>
      <c r="M1098">
        <f>Table2[[#This Row],[STARTING INVENTORY]]-Table2[[#This Row],[ENDING INVENTORY]]</f>
        <v>55</v>
      </c>
    </row>
    <row r="1099" spans="1:13">
      <c r="A1099" t="s">
        <v>14</v>
      </c>
      <c r="B1099" t="s">
        <v>161</v>
      </c>
      <c r="C1099" t="s">
        <v>132</v>
      </c>
      <c r="D1099" t="s">
        <v>29</v>
      </c>
      <c r="E1099" s="3">
        <v>0.45</v>
      </c>
      <c r="F1099" s="3">
        <v>0.45450000000000002</v>
      </c>
      <c r="G1099">
        <v>2.0499999999999998</v>
      </c>
      <c r="H1099" s="3">
        <v>0.92249999999999999</v>
      </c>
      <c r="I1099">
        <v>135</v>
      </c>
      <c r="J1099">
        <v>6</v>
      </c>
      <c r="K1099">
        <v>103</v>
      </c>
      <c r="L1099" s="13">
        <f>(Table2[[#This Row],[STARTING INVENTORY]]-Table2[[#This Row],[ENDING INVENTORY]])/(Table2[[#This Row],[STARTING INVENTORY]])</f>
        <v>0.23703703703703705</v>
      </c>
      <c r="M1099">
        <f>Table2[[#This Row],[STARTING INVENTORY]]-Table2[[#This Row],[ENDING INVENTORY]]</f>
        <v>32</v>
      </c>
    </row>
    <row r="1100" spans="1:13">
      <c r="A1100" t="s">
        <v>14</v>
      </c>
      <c r="B1100" t="s">
        <v>161</v>
      </c>
      <c r="C1100" t="s">
        <v>138</v>
      </c>
      <c r="D1100" t="s">
        <v>33</v>
      </c>
      <c r="E1100" s="3">
        <v>1.9</v>
      </c>
      <c r="F1100" s="3">
        <v>1.9189999999999998</v>
      </c>
      <c r="G1100">
        <v>2.06</v>
      </c>
      <c r="H1100" s="3">
        <v>3.9139999999999997</v>
      </c>
      <c r="I1100">
        <v>115</v>
      </c>
      <c r="J1100">
        <v>2</v>
      </c>
      <c r="K1100">
        <v>65</v>
      </c>
      <c r="L1100" s="13">
        <f>(Table2[[#This Row],[STARTING INVENTORY]]-Table2[[#This Row],[ENDING INVENTORY]])/(Table2[[#This Row],[STARTING INVENTORY]])</f>
        <v>0.43478260869565216</v>
      </c>
      <c r="M1100">
        <f>Table2[[#This Row],[STARTING INVENTORY]]-Table2[[#This Row],[ENDING INVENTORY]]</f>
        <v>50</v>
      </c>
    </row>
    <row r="1101" spans="1:13">
      <c r="A1101" t="s">
        <v>14</v>
      </c>
      <c r="B1101" t="s">
        <v>161</v>
      </c>
      <c r="C1101" t="s">
        <v>144</v>
      </c>
      <c r="D1101" t="s">
        <v>33</v>
      </c>
      <c r="E1101" s="3">
        <v>4</v>
      </c>
      <c r="F1101" s="3">
        <v>4.04</v>
      </c>
      <c r="G1101">
        <v>2.0700000000000003</v>
      </c>
      <c r="H1101" s="3">
        <v>8.2800000000000011</v>
      </c>
      <c r="I1101">
        <v>59</v>
      </c>
      <c r="J1101">
        <v>4</v>
      </c>
      <c r="K1101">
        <v>54</v>
      </c>
      <c r="L1101" s="13">
        <f>(Table2[[#This Row],[STARTING INVENTORY]]-Table2[[#This Row],[ENDING INVENTORY]])/(Table2[[#This Row],[STARTING INVENTORY]])</f>
        <v>8.4745762711864403E-2</v>
      </c>
      <c r="M1101">
        <f>Table2[[#This Row],[STARTING INVENTORY]]-Table2[[#This Row],[ENDING INVENTORY]]</f>
        <v>5</v>
      </c>
    </row>
    <row r="1102" spans="1:13">
      <c r="A1102" t="s">
        <v>14</v>
      </c>
      <c r="B1102" t="s">
        <v>162</v>
      </c>
      <c r="C1102" t="s">
        <v>30</v>
      </c>
      <c r="D1102" t="s">
        <v>29</v>
      </c>
      <c r="E1102" s="3">
        <v>2.85</v>
      </c>
      <c r="F1102" s="3">
        <v>2.8785000000000003</v>
      </c>
      <c r="G1102">
        <v>2.06</v>
      </c>
      <c r="H1102" s="3">
        <v>5.8710000000000004</v>
      </c>
      <c r="I1102">
        <v>24</v>
      </c>
      <c r="J1102">
        <v>0</v>
      </c>
      <c r="K1102">
        <v>7</v>
      </c>
      <c r="L1102" s="13">
        <f>(Table2[[#This Row],[STARTING INVENTORY]]-Table2[[#This Row],[ENDING INVENTORY]])/(Table2[[#This Row],[STARTING INVENTORY]])</f>
        <v>0.70833333333333337</v>
      </c>
      <c r="M1102">
        <f>Table2[[#This Row],[STARTING INVENTORY]]-Table2[[#This Row],[ENDING INVENTORY]]</f>
        <v>17</v>
      </c>
    </row>
    <row r="1103" spans="1:13">
      <c r="A1103" t="s">
        <v>14</v>
      </c>
      <c r="B1103" t="s">
        <v>162</v>
      </c>
      <c r="C1103" t="s">
        <v>37</v>
      </c>
      <c r="D1103" t="s">
        <v>29</v>
      </c>
      <c r="E1103" s="3">
        <v>2.5</v>
      </c>
      <c r="F1103" s="3">
        <v>2.5249999999999999</v>
      </c>
      <c r="G1103">
        <v>2.08</v>
      </c>
      <c r="H1103" s="3">
        <v>5.2</v>
      </c>
      <c r="I1103">
        <v>93</v>
      </c>
      <c r="J1103">
        <v>0</v>
      </c>
      <c r="K1103">
        <v>47</v>
      </c>
      <c r="L1103" s="13">
        <f>(Table2[[#This Row],[STARTING INVENTORY]]-Table2[[#This Row],[ENDING INVENTORY]])/(Table2[[#This Row],[STARTING INVENTORY]])</f>
        <v>0.4946236559139785</v>
      </c>
      <c r="M1103">
        <f>Table2[[#This Row],[STARTING INVENTORY]]-Table2[[#This Row],[ENDING INVENTORY]]</f>
        <v>46</v>
      </c>
    </row>
    <row r="1104" spans="1:13">
      <c r="A1104" t="s">
        <v>14</v>
      </c>
      <c r="B1104" t="s">
        <v>162</v>
      </c>
      <c r="C1104" t="s">
        <v>43</v>
      </c>
      <c r="D1104" t="s">
        <v>29</v>
      </c>
      <c r="E1104" s="3">
        <v>2.1</v>
      </c>
      <c r="F1104" s="3">
        <v>2.121</v>
      </c>
      <c r="G1104">
        <v>2.0499999999999998</v>
      </c>
      <c r="H1104" s="3">
        <v>4.3049999999999997</v>
      </c>
      <c r="I1104">
        <v>57</v>
      </c>
      <c r="J1104">
        <v>4</v>
      </c>
      <c r="K1104">
        <v>26</v>
      </c>
      <c r="L1104" s="13">
        <f>(Table2[[#This Row],[STARTING INVENTORY]]-Table2[[#This Row],[ENDING INVENTORY]])/(Table2[[#This Row],[STARTING INVENTORY]])</f>
        <v>0.54385964912280704</v>
      </c>
      <c r="M1104">
        <f>Table2[[#This Row],[STARTING INVENTORY]]-Table2[[#This Row],[ENDING INVENTORY]]</f>
        <v>31</v>
      </c>
    </row>
    <row r="1105" spans="1:13">
      <c r="A1105" t="s">
        <v>14</v>
      </c>
      <c r="B1105" t="s">
        <v>162</v>
      </c>
      <c r="C1105" t="s">
        <v>49</v>
      </c>
      <c r="D1105" t="s">
        <v>29</v>
      </c>
      <c r="E1105" s="3">
        <v>1</v>
      </c>
      <c r="F1105" s="3">
        <v>1.01</v>
      </c>
      <c r="G1105">
        <v>2.0700000000000003</v>
      </c>
      <c r="H1105" s="3">
        <v>2.0700000000000003</v>
      </c>
      <c r="I1105">
        <v>32</v>
      </c>
      <c r="J1105">
        <v>0</v>
      </c>
      <c r="K1105">
        <v>21</v>
      </c>
      <c r="L1105" s="13">
        <f>(Table2[[#This Row],[STARTING INVENTORY]]-Table2[[#This Row],[ENDING INVENTORY]])/(Table2[[#This Row],[STARTING INVENTORY]])</f>
        <v>0.34375</v>
      </c>
      <c r="M1105">
        <f>Table2[[#This Row],[STARTING INVENTORY]]-Table2[[#This Row],[ENDING INVENTORY]]</f>
        <v>11</v>
      </c>
    </row>
    <row r="1106" spans="1:13">
      <c r="A1106" t="s">
        <v>14</v>
      </c>
      <c r="B1106" t="s">
        <v>162</v>
      </c>
      <c r="C1106" t="s">
        <v>55</v>
      </c>
      <c r="D1106" t="s">
        <v>29</v>
      </c>
      <c r="E1106" s="3">
        <v>0.9</v>
      </c>
      <c r="F1106" s="3">
        <v>0.90900000000000003</v>
      </c>
      <c r="G1106">
        <v>2.0700000000000003</v>
      </c>
      <c r="H1106" s="3">
        <v>1.8630000000000002</v>
      </c>
      <c r="I1106">
        <v>50</v>
      </c>
      <c r="J1106">
        <v>2</v>
      </c>
      <c r="K1106">
        <v>36</v>
      </c>
      <c r="L1106" s="13">
        <f>(Table2[[#This Row],[STARTING INVENTORY]]-Table2[[#This Row],[ENDING INVENTORY]])/(Table2[[#This Row],[STARTING INVENTORY]])</f>
        <v>0.28000000000000003</v>
      </c>
      <c r="M1106">
        <f>Table2[[#This Row],[STARTING INVENTORY]]-Table2[[#This Row],[ENDING INVENTORY]]</f>
        <v>14</v>
      </c>
    </row>
    <row r="1107" spans="1:13">
      <c r="A1107" t="s">
        <v>14</v>
      </c>
      <c r="B1107" t="s">
        <v>162</v>
      </c>
      <c r="C1107" t="s">
        <v>61</v>
      </c>
      <c r="D1107" t="s">
        <v>29</v>
      </c>
      <c r="E1107" s="3">
        <v>1.9</v>
      </c>
      <c r="F1107" s="3">
        <v>1.9189999999999998</v>
      </c>
      <c r="G1107">
        <v>2.0700000000000003</v>
      </c>
      <c r="H1107" s="3">
        <v>3.9330000000000003</v>
      </c>
      <c r="I1107">
        <v>66</v>
      </c>
      <c r="J1107">
        <v>2</v>
      </c>
      <c r="K1107">
        <v>26</v>
      </c>
      <c r="L1107" s="13">
        <f>(Table2[[#This Row],[STARTING INVENTORY]]-Table2[[#This Row],[ENDING INVENTORY]])/(Table2[[#This Row],[STARTING INVENTORY]])</f>
        <v>0.60606060606060608</v>
      </c>
      <c r="M1107">
        <f>Table2[[#This Row],[STARTING INVENTORY]]-Table2[[#This Row],[ENDING INVENTORY]]</f>
        <v>40</v>
      </c>
    </row>
    <row r="1108" spans="1:13">
      <c r="A1108" t="s">
        <v>14</v>
      </c>
      <c r="B1108" t="s">
        <v>162</v>
      </c>
      <c r="C1108" t="s">
        <v>67</v>
      </c>
      <c r="D1108" t="s">
        <v>29</v>
      </c>
      <c r="E1108" s="3">
        <v>1.3</v>
      </c>
      <c r="F1108" s="3">
        <v>1.3130000000000002</v>
      </c>
      <c r="G1108">
        <v>2</v>
      </c>
      <c r="H1108" s="3">
        <v>2.6</v>
      </c>
      <c r="I1108">
        <v>71</v>
      </c>
      <c r="J1108">
        <v>3</v>
      </c>
      <c r="K1108">
        <v>66</v>
      </c>
      <c r="L1108" s="13">
        <f>(Table2[[#This Row],[STARTING INVENTORY]]-Table2[[#This Row],[ENDING INVENTORY]])/(Table2[[#This Row],[STARTING INVENTORY]])</f>
        <v>7.0422535211267609E-2</v>
      </c>
      <c r="M1108">
        <f>Table2[[#This Row],[STARTING INVENTORY]]-Table2[[#This Row],[ENDING INVENTORY]]</f>
        <v>5</v>
      </c>
    </row>
    <row r="1109" spans="1:13">
      <c r="A1109" t="s">
        <v>14</v>
      </c>
      <c r="B1109" t="s">
        <v>162</v>
      </c>
      <c r="C1109" t="s">
        <v>73</v>
      </c>
      <c r="D1109" t="s">
        <v>29</v>
      </c>
      <c r="E1109" s="3">
        <v>4</v>
      </c>
      <c r="F1109" s="3">
        <v>4.04</v>
      </c>
      <c r="G1109">
        <v>2.0700000000000003</v>
      </c>
      <c r="H1109" s="3">
        <v>8.2800000000000011</v>
      </c>
      <c r="I1109">
        <v>75</v>
      </c>
      <c r="J1109">
        <v>0</v>
      </c>
      <c r="K1109">
        <v>12</v>
      </c>
      <c r="L1109" s="13">
        <f>(Table2[[#This Row],[STARTING INVENTORY]]-Table2[[#This Row],[ENDING INVENTORY]])/(Table2[[#This Row],[STARTING INVENTORY]])</f>
        <v>0.84</v>
      </c>
      <c r="M1109">
        <f>Table2[[#This Row],[STARTING INVENTORY]]-Table2[[#This Row],[ENDING INVENTORY]]</f>
        <v>63</v>
      </c>
    </row>
    <row r="1110" spans="1:13">
      <c r="A1110" t="s">
        <v>14</v>
      </c>
      <c r="B1110" t="s">
        <v>162</v>
      </c>
      <c r="C1110" t="s">
        <v>79</v>
      </c>
      <c r="D1110" t="s">
        <v>29</v>
      </c>
      <c r="E1110" s="3">
        <v>2.2000000000000002</v>
      </c>
      <c r="F1110" s="3">
        <v>2.2220000000000004</v>
      </c>
      <c r="G1110">
        <v>2.09</v>
      </c>
      <c r="H1110" s="3">
        <v>4.5979999999999999</v>
      </c>
      <c r="I1110">
        <v>34</v>
      </c>
      <c r="J1110">
        <v>1</v>
      </c>
      <c r="K1110">
        <v>9</v>
      </c>
      <c r="L1110" s="13">
        <f>(Table2[[#This Row],[STARTING INVENTORY]]-Table2[[#This Row],[ENDING INVENTORY]])/(Table2[[#This Row],[STARTING INVENTORY]])</f>
        <v>0.73529411764705888</v>
      </c>
      <c r="M1110">
        <f>Table2[[#This Row],[STARTING INVENTORY]]-Table2[[#This Row],[ENDING INVENTORY]]</f>
        <v>25</v>
      </c>
    </row>
    <row r="1111" spans="1:13">
      <c r="A1111" t="s">
        <v>14</v>
      </c>
      <c r="B1111" t="s">
        <v>162</v>
      </c>
      <c r="C1111" t="s">
        <v>85</v>
      </c>
      <c r="D1111" t="s">
        <v>29</v>
      </c>
      <c r="E1111" s="3">
        <v>2.75</v>
      </c>
      <c r="F1111" s="3">
        <v>2.7774999999999999</v>
      </c>
      <c r="G1111">
        <v>2.1</v>
      </c>
      <c r="H1111" s="3">
        <v>5.7750000000000004</v>
      </c>
      <c r="I1111">
        <v>48</v>
      </c>
      <c r="J1111">
        <v>3</v>
      </c>
      <c r="K1111">
        <v>35</v>
      </c>
      <c r="L1111" s="13">
        <f>(Table2[[#This Row],[STARTING INVENTORY]]-Table2[[#This Row],[ENDING INVENTORY]])/(Table2[[#This Row],[STARTING INVENTORY]])</f>
        <v>0.27083333333333331</v>
      </c>
      <c r="M1111">
        <f>Table2[[#This Row],[STARTING INVENTORY]]-Table2[[#This Row],[ENDING INVENTORY]]</f>
        <v>13</v>
      </c>
    </row>
    <row r="1112" spans="1:13">
      <c r="A1112" t="s">
        <v>14</v>
      </c>
      <c r="B1112" t="s">
        <v>162</v>
      </c>
      <c r="C1112" t="s">
        <v>91</v>
      </c>
      <c r="D1112" t="s">
        <v>29</v>
      </c>
      <c r="E1112" s="3">
        <v>3.5</v>
      </c>
      <c r="F1112" s="3">
        <v>3.5350000000000001</v>
      </c>
      <c r="G1112">
        <v>1.97</v>
      </c>
      <c r="H1112" s="3">
        <v>6.8949999999999996</v>
      </c>
      <c r="I1112">
        <v>27</v>
      </c>
      <c r="J1112">
        <v>0</v>
      </c>
      <c r="K1112">
        <v>8</v>
      </c>
      <c r="L1112" s="13">
        <f>(Table2[[#This Row],[STARTING INVENTORY]]-Table2[[#This Row],[ENDING INVENTORY]])/(Table2[[#This Row],[STARTING INVENTORY]])</f>
        <v>0.70370370370370372</v>
      </c>
      <c r="M1112">
        <f>Table2[[#This Row],[STARTING INVENTORY]]-Table2[[#This Row],[ENDING INVENTORY]]</f>
        <v>19</v>
      </c>
    </row>
    <row r="1113" spans="1:13">
      <c r="A1113" t="s">
        <v>14</v>
      </c>
      <c r="B1113" t="s">
        <v>162</v>
      </c>
      <c r="C1113" t="s">
        <v>97</v>
      </c>
      <c r="D1113" t="s">
        <v>29</v>
      </c>
      <c r="E1113" s="3">
        <v>8</v>
      </c>
      <c r="F1113" s="3">
        <v>8.08</v>
      </c>
      <c r="G1113">
        <v>2.02</v>
      </c>
      <c r="H1113" s="3">
        <v>16.16</v>
      </c>
      <c r="I1113">
        <v>24</v>
      </c>
      <c r="J1113">
        <v>3</v>
      </c>
      <c r="K1113">
        <v>21</v>
      </c>
      <c r="L1113" s="13">
        <f>(Table2[[#This Row],[STARTING INVENTORY]]-Table2[[#This Row],[ENDING INVENTORY]])/(Table2[[#This Row],[STARTING INVENTORY]])</f>
        <v>0.125</v>
      </c>
      <c r="M1113">
        <f>Table2[[#This Row],[STARTING INVENTORY]]-Table2[[#This Row],[ENDING INVENTORY]]</f>
        <v>3</v>
      </c>
    </row>
    <row r="1114" spans="1:13">
      <c r="A1114" t="s">
        <v>14</v>
      </c>
      <c r="B1114" t="s">
        <v>162</v>
      </c>
      <c r="C1114" t="s">
        <v>103</v>
      </c>
      <c r="D1114" t="s">
        <v>29</v>
      </c>
      <c r="E1114" s="3">
        <v>7</v>
      </c>
      <c r="F1114" s="3">
        <v>7.07</v>
      </c>
      <c r="G1114">
        <v>2.1</v>
      </c>
      <c r="H1114" s="3">
        <v>14.700000000000001</v>
      </c>
      <c r="I1114">
        <v>48</v>
      </c>
      <c r="J1114">
        <v>4</v>
      </c>
      <c r="K1114">
        <v>26</v>
      </c>
      <c r="L1114" s="13">
        <f>(Table2[[#This Row],[STARTING INVENTORY]]-Table2[[#This Row],[ENDING INVENTORY]])/(Table2[[#This Row],[STARTING INVENTORY]])</f>
        <v>0.45833333333333331</v>
      </c>
      <c r="M1114">
        <f>Table2[[#This Row],[STARTING INVENTORY]]-Table2[[#This Row],[ENDING INVENTORY]]</f>
        <v>22</v>
      </c>
    </row>
    <row r="1115" spans="1:13">
      <c r="A1115" t="s">
        <v>14</v>
      </c>
      <c r="B1115" t="s">
        <v>162</v>
      </c>
      <c r="C1115" t="s">
        <v>109</v>
      </c>
      <c r="D1115" t="s">
        <v>29</v>
      </c>
      <c r="E1115" s="3">
        <v>1.8</v>
      </c>
      <c r="F1115" s="3">
        <v>1.8180000000000001</v>
      </c>
      <c r="G1115">
        <v>2</v>
      </c>
      <c r="H1115" s="3">
        <v>3.6</v>
      </c>
      <c r="I1115">
        <v>66</v>
      </c>
      <c r="J1115">
        <v>9</v>
      </c>
      <c r="K1115">
        <v>33</v>
      </c>
      <c r="L1115" s="13">
        <f>(Table2[[#This Row],[STARTING INVENTORY]]-Table2[[#This Row],[ENDING INVENTORY]])/(Table2[[#This Row],[STARTING INVENTORY]])</f>
        <v>0.5</v>
      </c>
      <c r="M1115">
        <f>Table2[[#This Row],[STARTING INVENTORY]]-Table2[[#This Row],[ENDING INVENTORY]]</f>
        <v>33</v>
      </c>
    </row>
    <row r="1116" spans="1:13">
      <c r="A1116" t="s">
        <v>14</v>
      </c>
      <c r="B1116" t="s">
        <v>162</v>
      </c>
      <c r="C1116" t="s">
        <v>115</v>
      </c>
      <c r="D1116" t="s">
        <v>29</v>
      </c>
      <c r="E1116" s="3">
        <v>9</v>
      </c>
      <c r="F1116" s="3">
        <v>9.09</v>
      </c>
      <c r="G1116">
        <v>1.95</v>
      </c>
      <c r="H1116" s="3">
        <v>17.55</v>
      </c>
      <c r="I1116">
        <v>87</v>
      </c>
      <c r="J1116">
        <v>0</v>
      </c>
      <c r="K1116">
        <v>0</v>
      </c>
      <c r="L1116" s="13">
        <f>(Table2[[#This Row],[STARTING INVENTORY]]-Table2[[#This Row],[ENDING INVENTORY]])/(Table2[[#This Row],[STARTING INVENTORY]])</f>
        <v>1</v>
      </c>
      <c r="M1116">
        <f>Table2[[#This Row],[STARTING INVENTORY]]-Table2[[#This Row],[ENDING INVENTORY]]</f>
        <v>87</v>
      </c>
    </row>
    <row r="1117" spans="1:13">
      <c r="A1117" t="s">
        <v>14</v>
      </c>
      <c r="B1117" t="s">
        <v>162</v>
      </c>
      <c r="C1117" t="s">
        <v>121</v>
      </c>
      <c r="D1117" t="s">
        <v>29</v>
      </c>
      <c r="E1117" s="3">
        <v>0.95</v>
      </c>
      <c r="F1117" s="3">
        <v>0.95949999999999991</v>
      </c>
      <c r="G1117">
        <v>2.0499999999999998</v>
      </c>
      <c r="H1117" s="3">
        <v>1.9474999999999998</v>
      </c>
      <c r="I1117">
        <v>95</v>
      </c>
      <c r="J1117">
        <v>5</v>
      </c>
      <c r="K1117">
        <v>31</v>
      </c>
      <c r="L1117" s="13">
        <f>(Table2[[#This Row],[STARTING INVENTORY]]-Table2[[#This Row],[ENDING INVENTORY]])/(Table2[[#This Row],[STARTING INVENTORY]])</f>
        <v>0.67368421052631577</v>
      </c>
      <c r="M1117">
        <f>Table2[[#This Row],[STARTING INVENTORY]]-Table2[[#This Row],[ENDING INVENTORY]]</f>
        <v>64</v>
      </c>
    </row>
    <row r="1118" spans="1:13">
      <c r="A1118" t="s">
        <v>14</v>
      </c>
      <c r="B1118" t="s">
        <v>162</v>
      </c>
      <c r="C1118" t="s">
        <v>127</v>
      </c>
      <c r="D1118" t="s">
        <v>29</v>
      </c>
      <c r="E1118" s="3">
        <v>1.85</v>
      </c>
      <c r="F1118" s="3">
        <v>1.8685</v>
      </c>
      <c r="G1118">
        <v>2.09</v>
      </c>
      <c r="H1118" s="3">
        <v>3.8664999999999998</v>
      </c>
      <c r="I1118">
        <v>64</v>
      </c>
      <c r="J1118">
        <v>2</v>
      </c>
      <c r="K1118">
        <v>24</v>
      </c>
      <c r="L1118" s="13">
        <f>(Table2[[#This Row],[STARTING INVENTORY]]-Table2[[#This Row],[ENDING INVENTORY]])/(Table2[[#This Row],[STARTING INVENTORY]])</f>
        <v>0.625</v>
      </c>
      <c r="M1118">
        <f>Table2[[#This Row],[STARTING INVENTORY]]-Table2[[#This Row],[ENDING INVENTORY]]</f>
        <v>40</v>
      </c>
    </row>
    <row r="1119" spans="1:13">
      <c r="A1119" t="s">
        <v>14</v>
      </c>
      <c r="B1119" t="s">
        <v>162</v>
      </c>
      <c r="C1119" t="s">
        <v>133</v>
      </c>
      <c r="D1119" t="s">
        <v>29</v>
      </c>
      <c r="E1119" s="3">
        <v>5.5</v>
      </c>
      <c r="F1119" s="3">
        <v>5.5549999999999997</v>
      </c>
      <c r="G1119">
        <v>2.09</v>
      </c>
      <c r="H1119" s="3">
        <v>11.494999999999999</v>
      </c>
      <c r="I1119">
        <v>21</v>
      </c>
      <c r="J1119">
        <v>1</v>
      </c>
      <c r="K1119">
        <v>6</v>
      </c>
      <c r="L1119" s="13">
        <f>(Table2[[#This Row],[STARTING INVENTORY]]-Table2[[#This Row],[ENDING INVENTORY]])/(Table2[[#This Row],[STARTING INVENTORY]])</f>
        <v>0.7142857142857143</v>
      </c>
      <c r="M1119">
        <f>Table2[[#This Row],[STARTING INVENTORY]]-Table2[[#This Row],[ENDING INVENTORY]]</f>
        <v>15</v>
      </c>
    </row>
    <row r="1120" spans="1:13">
      <c r="A1120" t="s">
        <v>14</v>
      </c>
      <c r="B1120" t="s">
        <v>162</v>
      </c>
      <c r="C1120" t="s">
        <v>139</v>
      </c>
      <c r="D1120" t="s">
        <v>29</v>
      </c>
      <c r="E1120" s="3">
        <v>1.9</v>
      </c>
      <c r="F1120" s="3">
        <v>1.9189999999999998</v>
      </c>
      <c r="G1120">
        <v>2</v>
      </c>
      <c r="H1120" s="3">
        <v>3.8</v>
      </c>
      <c r="I1120">
        <v>46</v>
      </c>
      <c r="J1120">
        <v>0</v>
      </c>
      <c r="K1120">
        <v>2</v>
      </c>
      <c r="L1120" s="13">
        <f>(Table2[[#This Row],[STARTING INVENTORY]]-Table2[[#This Row],[ENDING INVENTORY]])/(Table2[[#This Row],[STARTING INVENTORY]])</f>
        <v>0.95652173913043481</v>
      </c>
      <c r="M1120">
        <f>Table2[[#This Row],[STARTING INVENTORY]]-Table2[[#This Row],[ENDING INVENTORY]]</f>
        <v>44</v>
      </c>
    </row>
    <row r="1121" spans="1:13">
      <c r="A1121" t="s">
        <v>14</v>
      </c>
      <c r="B1121" t="s">
        <v>162</v>
      </c>
      <c r="C1121" t="s">
        <v>145</v>
      </c>
      <c r="D1121" t="s">
        <v>29</v>
      </c>
      <c r="E1121" s="3">
        <v>2.75</v>
      </c>
      <c r="F1121" s="3">
        <v>2.7774999999999999</v>
      </c>
      <c r="G1121">
        <v>2.0099999999999998</v>
      </c>
      <c r="H1121" s="3">
        <v>5.5274999999999999</v>
      </c>
      <c r="I1121">
        <v>55</v>
      </c>
      <c r="J1121">
        <v>4</v>
      </c>
      <c r="K1121">
        <v>19</v>
      </c>
      <c r="L1121" s="13">
        <f>(Table2[[#This Row],[STARTING INVENTORY]]-Table2[[#This Row],[ENDING INVENTORY]])/(Table2[[#This Row],[STARTING INVENTORY]])</f>
        <v>0.65454545454545454</v>
      </c>
      <c r="M1121">
        <f>Table2[[#This Row],[STARTING INVENTORY]]-Table2[[#This Row],[ENDING INVENTORY]]</f>
        <v>36</v>
      </c>
    </row>
    <row r="1122" spans="1:13">
      <c r="A1122" t="s">
        <v>14</v>
      </c>
      <c r="B1122" t="s">
        <v>163</v>
      </c>
      <c r="C1122" t="s">
        <v>32</v>
      </c>
      <c r="D1122" t="s">
        <v>33</v>
      </c>
      <c r="E1122" s="3">
        <v>3.25</v>
      </c>
      <c r="F1122" s="3">
        <v>3.2825000000000002</v>
      </c>
      <c r="G1122">
        <v>2.0499999999999998</v>
      </c>
      <c r="H1122" s="3">
        <v>6.6624999999999996</v>
      </c>
      <c r="I1122">
        <v>85</v>
      </c>
      <c r="J1122">
        <v>0</v>
      </c>
      <c r="K1122">
        <v>19</v>
      </c>
      <c r="L1122" s="13">
        <f>(Table2[[#This Row],[STARTING INVENTORY]]-Table2[[#This Row],[ENDING INVENTORY]])/(Table2[[#This Row],[STARTING INVENTORY]])</f>
        <v>0.77647058823529413</v>
      </c>
      <c r="M1122">
        <f>Table2[[#This Row],[STARTING INVENTORY]]-Table2[[#This Row],[ENDING INVENTORY]]</f>
        <v>66</v>
      </c>
    </row>
    <row r="1123" spans="1:13">
      <c r="A1123" t="s">
        <v>14</v>
      </c>
      <c r="B1123" t="s">
        <v>163</v>
      </c>
      <c r="C1123" t="s">
        <v>39</v>
      </c>
      <c r="D1123" t="s">
        <v>33</v>
      </c>
      <c r="E1123" s="3">
        <v>0.9</v>
      </c>
      <c r="F1123" s="3">
        <v>0.90900000000000003</v>
      </c>
      <c r="G1123">
        <v>1.96</v>
      </c>
      <c r="H1123" s="3">
        <v>1.764</v>
      </c>
      <c r="I1123">
        <v>75</v>
      </c>
      <c r="J1123">
        <v>1</v>
      </c>
      <c r="K1123">
        <v>34</v>
      </c>
      <c r="L1123" s="13">
        <f>(Table2[[#This Row],[STARTING INVENTORY]]-Table2[[#This Row],[ENDING INVENTORY]])/(Table2[[#This Row],[STARTING INVENTORY]])</f>
        <v>0.54666666666666663</v>
      </c>
      <c r="M1123">
        <f>Table2[[#This Row],[STARTING INVENTORY]]-Table2[[#This Row],[ENDING INVENTORY]]</f>
        <v>41</v>
      </c>
    </row>
    <row r="1124" spans="1:13">
      <c r="A1124" t="s">
        <v>14</v>
      </c>
      <c r="B1124" t="s">
        <v>163</v>
      </c>
      <c r="C1124" t="s">
        <v>45</v>
      </c>
      <c r="D1124" t="s">
        <v>33</v>
      </c>
      <c r="E1124" s="3">
        <v>1.6</v>
      </c>
      <c r="F1124" s="3">
        <v>1.6160000000000001</v>
      </c>
      <c r="G1124">
        <v>2.02</v>
      </c>
      <c r="H1124" s="3">
        <v>3.2320000000000002</v>
      </c>
      <c r="I1124">
        <v>92</v>
      </c>
      <c r="J1124">
        <v>0</v>
      </c>
      <c r="K1124">
        <v>90</v>
      </c>
      <c r="L1124" s="13">
        <f>(Table2[[#This Row],[STARTING INVENTORY]]-Table2[[#This Row],[ENDING INVENTORY]])/(Table2[[#This Row],[STARTING INVENTORY]])</f>
        <v>2.1739130434782608E-2</v>
      </c>
      <c r="M1124">
        <f>Table2[[#This Row],[STARTING INVENTORY]]-Table2[[#This Row],[ENDING INVENTORY]]</f>
        <v>2</v>
      </c>
    </row>
    <row r="1125" spans="1:13">
      <c r="A1125" t="s">
        <v>14</v>
      </c>
      <c r="B1125" t="s">
        <v>163</v>
      </c>
      <c r="C1125" t="s">
        <v>51</v>
      </c>
      <c r="D1125" t="s">
        <v>33</v>
      </c>
      <c r="E1125" s="3">
        <v>1.1000000000000001</v>
      </c>
      <c r="F1125" s="3">
        <v>1.1110000000000002</v>
      </c>
      <c r="G1125">
        <v>2.02</v>
      </c>
      <c r="H1125" s="3">
        <v>2.2220000000000004</v>
      </c>
      <c r="I1125">
        <v>76</v>
      </c>
      <c r="J1125">
        <v>5</v>
      </c>
      <c r="K1125">
        <v>16</v>
      </c>
      <c r="L1125" s="13">
        <f>(Table2[[#This Row],[STARTING INVENTORY]]-Table2[[#This Row],[ENDING INVENTORY]])/(Table2[[#This Row],[STARTING INVENTORY]])</f>
        <v>0.78947368421052633</v>
      </c>
      <c r="M1125">
        <f>Table2[[#This Row],[STARTING INVENTORY]]-Table2[[#This Row],[ENDING INVENTORY]]</f>
        <v>60</v>
      </c>
    </row>
    <row r="1126" spans="1:13">
      <c r="A1126" t="s">
        <v>14</v>
      </c>
      <c r="B1126" t="s">
        <v>163</v>
      </c>
      <c r="C1126" t="s">
        <v>57</v>
      </c>
      <c r="D1126" t="s">
        <v>33</v>
      </c>
      <c r="E1126" s="3">
        <v>0.95</v>
      </c>
      <c r="F1126" s="3">
        <v>0.95949999999999991</v>
      </c>
      <c r="G1126">
        <v>2.0499999999999998</v>
      </c>
      <c r="H1126" s="3">
        <v>1.9474999999999998</v>
      </c>
      <c r="I1126">
        <v>118</v>
      </c>
      <c r="J1126">
        <v>4</v>
      </c>
      <c r="K1126">
        <v>17</v>
      </c>
      <c r="L1126" s="13">
        <f>(Table2[[#This Row],[STARTING INVENTORY]]-Table2[[#This Row],[ENDING INVENTORY]])/(Table2[[#This Row],[STARTING INVENTORY]])</f>
        <v>0.85593220338983056</v>
      </c>
      <c r="M1126">
        <f>Table2[[#This Row],[STARTING INVENTORY]]-Table2[[#This Row],[ENDING INVENTORY]]</f>
        <v>101</v>
      </c>
    </row>
    <row r="1127" spans="1:13">
      <c r="A1127" t="s">
        <v>14</v>
      </c>
      <c r="B1127" t="s">
        <v>163</v>
      </c>
      <c r="C1127" t="s">
        <v>63</v>
      </c>
      <c r="D1127" t="s">
        <v>33</v>
      </c>
      <c r="E1127" s="3">
        <v>2.75</v>
      </c>
      <c r="F1127" s="3">
        <v>2.7774999999999999</v>
      </c>
      <c r="G1127">
        <v>2.0099999999999998</v>
      </c>
      <c r="H1127" s="3">
        <v>5.5274999999999999</v>
      </c>
      <c r="I1127">
        <v>69</v>
      </c>
      <c r="J1127">
        <v>4</v>
      </c>
      <c r="K1127">
        <v>44</v>
      </c>
      <c r="L1127" s="13">
        <f>(Table2[[#This Row],[STARTING INVENTORY]]-Table2[[#This Row],[ENDING INVENTORY]])/(Table2[[#This Row],[STARTING INVENTORY]])</f>
        <v>0.36231884057971014</v>
      </c>
      <c r="M1127">
        <f>Table2[[#This Row],[STARTING INVENTORY]]-Table2[[#This Row],[ENDING INVENTORY]]</f>
        <v>25</v>
      </c>
    </row>
    <row r="1128" spans="1:13">
      <c r="A1128" t="s">
        <v>14</v>
      </c>
      <c r="B1128" t="s">
        <v>163</v>
      </c>
      <c r="C1128" t="s">
        <v>69</v>
      </c>
      <c r="D1128" t="s">
        <v>33</v>
      </c>
      <c r="E1128" s="3">
        <v>1.9</v>
      </c>
      <c r="F1128" s="3">
        <v>1.9189999999999998</v>
      </c>
      <c r="G1128">
        <v>2.04</v>
      </c>
      <c r="H1128" s="3">
        <v>3.8759999999999999</v>
      </c>
      <c r="I1128">
        <v>60</v>
      </c>
      <c r="J1128">
        <v>1</v>
      </c>
      <c r="K1128">
        <v>51</v>
      </c>
      <c r="L1128" s="13">
        <f>(Table2[[#This Row],[STARTING INVENTORY]]-Table2[[#This Row],[ENDING INVENTORY]])/(Table2[[#This Row],[STARTING INVENTORY]])</f>
        <v>0.15</v>
      </c>
      <c r="M1128">
        <f>Table2[[#This Row],[STARTING INVENTORY]]-Table2[[#This Row],[ENDING INVENTORY]]</f>
        <v>9</v>
      </c>
    </row>
    <row r="1129" spans="1:13">
      <c r="A1129" t="s">
        <v>14</v>
      </c>
      <c r="B1129" t="s">
        <v>163</v>
      </c>
      <c r="C1129" t="s">
        <v>75</v>
      </c>
      <c r="D1129" t="s">
        <v>33</v>
      </c>
      <c r="E1129" s="3">
        <v>4</v>
      </c>
      <c r="F1129" s="3">
        <v>4.04</v>
      </c>
      <c r="G1129">
        <v>2.0099999999999998</v>
      </c>
      <c r="H1129" s="3">
        <v>8.0399999999999991</v>
      </c>
      <c r="I1129">
        <v>123</v>
      </c>
      <c r="J1129">
        <v>0</v>
      </c>
      <c r="K1129">
        <v>92</v>
      </c>
      <c r="L1129" s="13">
        <f>(Table2[[#This Row],[STARTING INVENTORY]]-Table2[[#This Row],[ENDING INVENTORY]])/(Table2[[#This Row],[STARTING INVENTORY]])</f>
        <v>0.25203252032520324</v>
      </c>
      <c r="M1129">
        <f>Table2[[#This Row],[STARTING INVENTORY]]-Table2[[#This Row],[ENDING INVENTORY]]</f>
        <v>31</v>
      </c>
    </row>
    <row r="1130" spans="1:13">
      <c r="A1130" t="s">
        <v>14</v>
      </c>
      <c r="B1130" t="s">
        <v>163</v>
      </c>
      <c r="C1130" t="s">
        <v>81</v>
      </c>
      <c r="D1130" t="s">
        <v>33</v>
      </c>
      <c r="E1130" s="3">
        <v>0.8</v>
      </c>
      <c r="F1130" s="3">
        <v>0.80800000000000005</v>
      </c>
      <c r="G1130">
        <v>1.98</v>
      </c>
      <c r="H1130" s="3">
        <v>1.5840000000000001</v>
      </c>
      <c r="I1130">
        <v>153</v>
      </c>
      <c r="J1130">
        <v>3</v>
      </c>
      <c r="K1130">
        <v>90</v>
      </c>
      <c r="L1130" s="13">
        <f>(Table2[[#This Row],[STARTING INVENTORY]]-Table2[[#This Row],[ENDING INVENTORY]])/(Table2[[#This Row],[STARTING INVENTORY]])</f>
        <v>0.41176470588235292</v>
      </c>
      <c r="M1130">
        <f>Table2[[#This Row],[STARTING INVENTORY]]-Table2[[#This Row],[ENDING INVENTORY]]</f>
        <v>63</v>
      </c>
    </row>
    <row r="1131" spans="1:13">
      <c r="A1131" t="s">
        <v>14</v>
      </c>
      <c r="B1131" t="s">
        <v>163</v>
      </c>
      <c r="C1131" t="s">
        <v>87</v>
      </c>
      <c r="D1131" t="s">
        <v>33</v>
      </c>
      <c r="E1131" s="3">
        <v>4.25</v>
      </c>
      <c r="F1131" s="3">
        <v>4.2925000000000004</v>
      </c>
      <c r="G1131">
        <v>2.0700000000000003</v>
      </c>
      <c r="H1131" s="3">
        <v>8.7975000000000012</v>
      </c>
      <c r="I1131">
        <v>87</v>
      </c>
      <c r="J1131">
        <v>2</v>
      </c>
      <c r="K1131">
        <v>81</v>
      </c>
      <c r="L1131" s="13">
        <f>(Table2[[#This Row],[STARTING INVENTORY]]-Table2[[#This Row],[ENDING INVENTORY]])/(Table2[[#This Row],[STARTING INVENTORY]])</f>
        <v>6.8965517241379309E-2</v>
      </c>
      <c r="M1131">
        <f>Table2[[#This Row],[STARTING INVENTORY]]-Table2[[#This Row],[ENDING INVENTORY]]</f>
        <v>6</v>
      </c>
    </row>
    <row r="1132" spans="1:13">
      <c r="A1132" t="s">
        <v>14</v>
      </c>
      <c r="B1132" t="s">
        <v>163</v>
      </c>
      <c r="C1132" t="s">
        <v>93</v>
      </c>
      <c r="D1132" t="s">
        <v>33</v>
      </c>
      <c r="E1132" s="3">
        <v>1.6</v>
      </c>
      <c r="F1132" s="3">
        <v>1.6160000000000001</v>
      </c>
      <c r="G1132">
        <v>2.0300000000000002</v>
      </c>
      <c r="H1132" s="3">
        <v>3.2480000000000007</v>
      </c>
      <c r="I1132">
        <v>55</v>
      </c>
      <c r="J1132">
        <v>0</v>
      </c>
      <c r="K1132">
        <v>3</v>
      </c>
      <c r="L1132" s="13">
        <f>(Table2[[#This Row],[STARTING INVENTORY]]-Table2[[#This Row],[ENDING INVENTORY]])/(Table2[[#This Row],[STARTING INVENTORY]])</f>
        <v>0.94545454545454544</v>
      </c>
      <c r="M1132">
        <f>Table2[[#This Row],[STARTING INVENTORY]]-Table2[[#This Row],[ENDING INVENTORY]]</f>
        <v>52</v>
      </c>
    </row>
    <row r="1133" spans="1:13">
      <c r="A1133" t="s">
        <v>14</v>
      </c>
      <c r="B1133" t="s">
        <v>163</v>
      </c>
      <c r="C1133" t="s">
        <v>99</v>
      </c>
      <c r="D1133" t="s">
        <v>33</v>
      </c>
      <c r="E1133" s="3">
        <v>1.65</v>
      </c>
      <c r="F1133" s="3">
        <v>1.6664999999999999</v>
      </c>
      <c r="G1133">
        <v>2.1</v>
      </c>
      <c r="H1133" s="3">
        <v>3.4649999999999999</v>
      </c>
      <c r="I1133">
        <v>121</v>
      </c>
      <c r="J1133">
        <v>3</v>
      </c>
      <c r="K1133">
        <v>64</v>
      </c>
      <c r="L1133" s="13">
        <f>(Table2[[#This Row],[STARTING INVENTORY]]-Table2[[#This Row],[ENDING INVENTORY]])/(Table2[[#This Row],[STARTING INVENTORY]])</f>
        <v>0.47107438016528924</v>
      </c>
      <c r="M1133">
        <f>Table2[[#This Row],[STARTING INVENTORY]]-Table2[[#This Row],[ENDING INVENTORY]]</f>
        <v>57</v>
      </c>
    </row>
    <row r="1134" spans="1:13">
      <c r="A1134" t="s">
        <v>14</v>
      </c>
      <c r="B1134" t="s">
        <v>163</v>
      </c>
      <c r="C1134" t="s">
        <v>105</v>
      </c>
      <c r="D1134" t="s">
        <v>33</v>
      </c>
      <c r="E1134" s="3">
        <v>2.2000000000000002</v>
      </c>
      <c r="F1134" s="3">
        <v>2.2220000000000004</v>
      </c>
      <c r="G1134">
        <v>2.09</v>
      </c>
      <c r="H1134" s="3">
        <v>4.5979999999999999</v>
      </c>
      <c r="I1134">
        <v>72</v>
      </c>
      <c r="J1134">
        <v>10</v>
      </c>
      <c r="K1134">
        <v>49</v>
      </c>
      <c r="L1134" s="13">
        <f>(Table2[[#This Row],[STARTING INVENTORY]]-Table2[[#This Row],[ENDING INVENTORY]])/(Table2[[#This Row],[STARTING INVENTORY]])</f>
        <v>0.31944444444444442</v>
      </c>
      <c r="M1134">
        <f>Table2[[#This Row],[STARTING INVENTORY]]-Table2[[#This Row],[ENDING INVENTORY]]</f>
        <v>23</v>
      </c>
    </row>
    <row r="1135" spans="1:13">
      <c r="A1135" t="s">
        <v>14</v>
      </c>
      <c r="B1135" t="s">
        <v>163</v>
      </c>
      <c r="C1135" t="s">
        <v>111</v>
      </c>
      <c r="D1135" t="s">
        <v>33</v>
      </c>
      <c r="E1135" s="3">
        <v>4</v>
      </c>
      <c r="F1135" s="3">
        <v>4.04</v>
      </c>
      <c r="G1135">
        <v>1.99</v>
      </c>
      <c r="H1135" s="3">
        <v>7.96</v>
      </c>
      <c r="I1135">
        <v>96</v>
      </c>
      <c r="J1135">
        <v>4</v>
      </c>
      <c r="K1135">
        <v>0</v>
      </c>
      <c r="L1135" s="13">
        <f>(Table2[[#This Row],[STARTING INVENTORY]]-Table2[[#This Row],[ENDING INVENTORY]])/(Table2[[#This Row],[STARTING INVENTORY]])</f>
        <v>1</v>
      </c>
      <c r="M1135">
        <f>Table2[[#This Row],[STARTING INVENTORY]]-Table2[[#This Row],[ENDING INVENTORY]]</f>
        <v>96</v>
      </c>
    </row>
    <row r="1136" spans="1:13">
      <c r="A1136" t="s">
        <v>14</v>
      </c>
      <c r="B1136" t="s">
        <v>163</v>
      </c>
      <c r="C1136" t="s">
        <v>117</v>
      </c>
      <c r="D1136" t="s">
        <v>33</v>
      </c>
      <c r="E1136" s="3">
        <v>5.25</v>
      </c>
      <c r="F1136" s="3">
        <v>5.3025000000000002</v>
      </c>
      <c r="G1136">
        <v>1.96</v>
      </c>
      <c r="H1136" s="3">
        <v>10.29</v>
      </c>
      <c r="I1136">
        <v>139</v>
      </c>
      <c r="J1136">
        <v>4</v>
      </c>
      <c r="K1136">
        <v>57</v>
      </c>
      <c r="L1136" s="13">
        <f>(Table2[[#This Row],[STARTING INVENTORY]]-Table2[[#This Row],[ENDING INVENTORY]])/(Table2[[#This Row],[STARTING INVENTORY]])</f>
        <v>0.58992805755395683</v>
      </c>
      <c r="M1136">
        <f>Table2[[#This Row],[STARTING INVENTORY]]-Table2[[#This Row],[ENDING INVENTORY]]</f>
        <v>82</v>
      </c>
    </row>
    <row r="1137" spans="1:13">
      <c r="A1137" t="s">
        <v>14</v>
      </c>
      <c r="B1137" t="s">
        <v>163</v>
      </c>
      <c r="C1137" t="s">
        <v>123</v>
      </c>
      <c r="D1137" t="s">
        <v>33</v>
      </c>
      <c r="E1137" s="3">
        <v>2</v>
      </c>
      <c r="F1137" s="3">
        <v>2.02</v>
      </c>
      <c r="G1137">
        <v>2.02</v>
      </c>
      <c r="H1137" s="3">
        <v>4.04</v>
      </c>
      <c r="I1137">
        <v>95</v>
      </c>
      <c r="J1137">
        <v>8</v>
      </c>
      <c r="K1137">
        <v>25</v>
      </c>
      <c r="L1137" s="13">
        <f>(Table2[[#This Row],[STARTING INVENTORY]]-Table2[[#This Row],[ENDING INVENTORY]])/(Table2[[#This Row],[STARTING INVENTORY]])</f>
        <v>0.73684210526315785</v>
      </c>
      <c r="M1137">
        <f>Table2[[#This Row],[STARTING INVENTORY]]-Table2[[#This Row],[ENDING INVENTORY]]</f>
        <v>70</v>
      </c>
    </row>
    <row r="1138" spans="1:13">
      <c r="A1138" t="s">
        <v>14</v>
      </c>
      <c r="B1138" t="s">
        <v>163</v>
      </c>
      <c r="C1138" t="s">
        <v>129</v>
      </c>
      <c r="D1138" t="s">
        <v>33</v>
      </c>
      <c r="E1138" s="3">
        <v>2.8</v>
      </c>
      <c r="F1138" s="3">
        <v>2.8279999999999998</v>
      </c>
      <c r="G1138">
        <v>1.95</v>
      </c>
      <c r="H1138" s="3">
        <v>5.46</v>
      </c>
      <c r="I1138">
        <v>156</v>
      </c>
      <c r="J1138">
        <v>0</v>
      </c>
      <c r="K1138">
        <v>108</v>
      </c>
      <c r="L1138" s="13">
        <f>(Table2[[#This Row],[STARTING INVENTORY]]-Table2[[#This Row],[ENDING INVENTORY]])/(Table2[[#This Row],[STARTING INVENTORY]])</f>
        <v>0.30769230769230771</v>
      </c>
      <c r="M1138">
        <f>Table2[[#This Row],[STARTING INVENTORY]]-Table2[[#This Row],[ENDING INVENTORY]]</f>
        <v>48</v>
      </c>
    </row>
    <row r="1139" spans="1:13">
      <c r="A1139" t="s">
        <v>14</v>
      </c>
      <c r="B1139" t="s">
        <v>163</v>
      </c>
      <c r="C1139" t="s">
        <v>135</v>
      </c>
      <c r="D1139" t="s">
        <v>33</v>
      </c>
      <c r="E1139" s="3">
        <v>1.35</v>
      </c>
      <c r="F1139" s="3">
        <v>1.3635000000000002</v>
      </c>
      <c r="G1139">
        <v>2.09</v>
      </c>
      <c r="H1139" s="3">
        <v>2.8214999999999999</v>
      </c>
      <c r="I1139">
        <v>61</v>
      </c>
      <c r="J1139">
        <v>2</v>
      </c>
      <c r="K1139">
        <v>19</v>
      </c>
      <c r="L1139" s="13">
        <f>(Table2[[#This Row],[STARTING INVENTORY]]-Table2[[#This Row],[ENDING INVENTORY]])/(Table2[[#This Row],[STARTING INVENTORY]])</f>
        <v>0.68852459016393441</v>
      </c>
      <c r="M1139">
        <f>Table2[[#This Row],[STARTING INVENTORY]]-Table2[[#This Row],[ENDING INVENTORY]]</f>
        <v>42</v>
      </c>
    </row>
    <row r="1140" spans="1:13">
      <c r="A1140" t="s">
        <v>14</v>
      </c>
      <c r="B1140" t="s">
        <v>163</v>
      </c>
      <c r="C1140" t="s">
        <v>141</v>
      </c>
      <c r="D1140" t="s">
        <v>33</v>
      </c>
      <c r="E1140" s="3">
        <v>2.25</v>
      </c>
      <c r="F1140" s="3">
        <v>2.2725</v>
      </c>
      <c r="G1140">
        <v>2.0700000000000003</v>
      </c>
      <c r="H1140" s="3">
        <v>4.6575000000000006</v>
      </c>
      <c r="I1140">
        <v>139</v>
      </c>
      <c r="J1140">
        <v>9</v>
      </c>
      <c r="K1140">
        <v>115</v>
      </c>
      <c r="L1140" s="13">
        <f>(Table2[[#This Row],[STARTING INVENTORY]]-Table2[[#This Row],[ENDING INVENTORY]])/(Table2[[#This Row],[STARTING INVENTORY]])</f>
        <v>0.17266187050359713</v>
      </c>
      <c r="M1140">
        <f>Table2[[#This Row],[STARTING INVENTORY]]-Table2[[#This Row],[ENDING INVENTORY]]</f>
        <v>24</v>
      </c>
    </row>
    <row r="1141" spans="1:13">
      <c r="A1141" t="s">
        <v>14</v>
      </c>
      <c r="B1141" t="s">
        <v>163</v>
      </c>
      <c r="C1141" t="s">
        <v>147</v>
      </c>
      <c r="D1141" t="s">
        <v>33</v>
      </c>
      <c r="E1141" s="3">
        <v>2.8</v>
      </c>
      <c r="F1141" s="3">
        <v>2.8279999999999998</v>
      </c>
      <c r="G1141">
        <v>2.0700000000000003</v>
      </c>
      <c r="H1141" s="3">
        <v>5.7960000000000003</v>
      </c>
      <c r="I1141">
        <v>62</v>
      </c>
      <c r="J1141">
        <v>0</v>
      </c>
      <c r="K1141">
        <v>22</v>
      </c>
      <c r="L1141" s="13">
        <f>(Table2[[#This Row],[STARTING INVENTORY]]-Table2[[#This Row],[ENDING INVENTORY]])/(Table2[[#This Row],[STARTING INVENTORY]])</f>
        <v>0.64516129032258063</v>
      </c>
      <c r="M1141">
        <f>Table2[[#This Row],[STARTING INVENTORY]]-Table2[[#This Row],[ENDING INVENTORY]]</f>
        <v>40</v>
      </c>
    </row>
    <row r="1142" spans="1:13">
      <c r="A1142" t="s">
        <v>14</v>
      </c>
      <c r="B1142" t="s">
        <v>164</v>
      </c>
      <c r="C1142" t="s">
        <v>31</v>
      </c>
      <c r="D1142" t="s">
        <v>29</v>
      </c>
      <c r="E1142" s="3">
        <v>5.25</v>
      </c>
      <c r="F1142" s="3">
        <v>5.3025000000000002</v>
      </c>
      <c r="G1142">
        <v>1.97</v>
      </c>
      <c r="H1142" s="3">
        <v>10.342499999999999</v>
      </c>
      <c r="I1142">
        <v>91</v>
      </c>
      <c r="J1142">
        <v>4</v>
      </c>
      <c r="K1142">
        <v>9</v>
      </c>
      <c r="L1142" s="13">
        <f>(Table2[[#This Row],[STARTING INVENTORY]]-Table2[[#This Row],[ENDING INVENTORY]])/(Table2[[#This Row],[STARTING INVENTORY]])</f>
        <v>0.90109890109890112</v>
      </c>
      <c r="M1142">
        <f>Table2[[#This Row],[STARTING INVENTORY]]-Table2[[#This Row],[ENDING INVENTORY]]</f>
        <v>82</v>
      </c>
    </row>
    <row r="1143" spans="1:13">
      <c r="A1143" t="s">
        <v>14</v>
      </c>
      <c r="B1143" t="s">
        <v>164</v>
      </c>
      <c r="C1143" t="s">
        <v>38</v>
      </c>
      <c r="D1143" t="s">
        <v>29</v>
      </c>
      <c r="E1143" s="3">
        <v>4.75</v>
      </c>
      <c r="F1143" s="3">
        <v>4.7975000000000003</v>
      </c>
      <c r="G1143">
        <v>1.99</v>
      </c>
      <c r="H1143" s="3">
        <v>9.4525000000000006</v>
      </c>
      <c r="I1143">
        <v>111</v>
      </c>
      <c r="J1143">
        <v>2</v>
      </c>
      <c r="K1143">
        <v>58</v>
      </c>
      <c r="L1143" s="13">
        <f>(Table2[[#This Row],[STARTING INVENTORY]]-Table2[[#This Row],[ENDING INVENTORY]])/(Table2[[#This Row],[STARTING INVENTORY]])</f>
        <v>0.47747747747747749</v>
      </c>
      <c r="M1143">
        <f>Table2[[#This Row],[STARTING INVENTORY]]-Table2[[#This Row],[ENDING INVENTORY]]</f>
        <v>53</v>
      </c>
    </row>
    <row r="1144" spans="1:13">
      <c r="A1144" t="s">
        <v>14</v>
      </c>
      <c r="B1144" t="s">
        <v>164</v>
      </c>
      <c r="C1144" t="s">
        <v>44</v>
      </c>
      <c r="D1144" t="s">
        <v>29</v>
      </c>
      <c r="E1144" s="3">
        <v>6.5</v>
      </c>
      <c r="F1144" s="3">
        <v>6.5650000000000004</v>
      </c>
      <c r="G1144">
        <v>1.97</v>
      </c>
      <c r="H1144" s="3">
        <v>12.805</v>
      </c>
      <c r="I1144">
        <v>118</v>
      </c>
      <c r="J1144">
        <v>2</v>
      </c>
      <c r="K1144">
        <v>74</v>
      </c>
      <c r="L1144" s="13">
        <f>(Table2[[#This Row],[STARTING INVENTORY]]-Table2[[#This Row],[ENDING INVENTORY]])/(Table2[[#This Row],[STARTING INVENTORY]])</f>
        <v>0.3728813559322034</v>
      </c>
      <c r="M1144">
        <f>Table2[[#This Row],[STARTING INVENTORY]]-Table2[[#This Row],[ENDING INVENTORY]]</f>
        <v>44</v>
      </c>
    </row>
    <row r="1145" spans="1:13">
      <c r="A1145" t="s">
        <v>14</v>
      </c>
      <c r="B1145" t="s">
        <v>164</v>
      </c>
      <c r="C1145" t="s">
        <v>50</v>
      </c>
      <c r="D1145" t="s">
        <v>29</v>
      </c>
      <c r="E1145" s="3">
        <v>5.75</v>
      </c>
      <c r="F1145" s="3">
        <v>5.8075000000000001</v>
      </c>
      <c r="G1145">
        <v>2.08</v>
      </c>
      <c r="H1145" s="3">
        <v>11.96</v>
      </c>
      <c r="I1145">
        <v>89</v>
      </c>
      <c r="J1145">
        <v>3</v>
      </c>
      <c r="K1145">
        <v>40</v>
      </c>
      <c r="L1145" s="13">
        <f>(Table2[[#This Row],[STARTING INVENTORY]]-Table2[[#This Row],[ENDING INVENTORY]])/(Table2[[#This Row],[STARTING INVENTORY]])</f>
        <v>0.550561797752809</v>
      </c>
      <c r="M1145">
        <f>Table2[[#This Row],[STARTING INVENTORY]]-Table2[[#This Row],[ENDING INVENTORY]]</f>
        <v>49</v>
      </c>
    </row>
    <row r="1146" spans="1:13">
      <c r="A1146" t="s">
        <v>14</v>
      </c>
      <c r="B1146" t="s">
        <v>164</v>
      </c>
      <c r="C1146" t="s">
        <v>56</v>
      </c>
      <c r="D1146" t="s">
        <v>29</v>
      </c>
      <c r="E1146" s="3">
        <v>5.5</v>
      </c>
      <c r="F1146" s="3">
        <v>5.5549999999999997</v>
      </c>
      <c r="G1146">
        <v>1.99</v>
      </c>
      <c r="H1146" s="3">
        <v>10.945</v>
      </c>
      <c r="I1146">
        <v>72</v>
      </c>
      <c r="J1146">
        <v>7</v>
      </c>
      <c r="K1146">
        <v>4</v>
      </c>
      <c r="L1146" s="13">
        <f>(Table2[[#This Row],[STARTING INVENTORY]]-Table2[[#This Row],[ENDING INVENTORY]])/(Table2[[#This Row],[STARTING INVENTORY]])</f>
        <v>0.94444444444444442</v>
      </c>
      <c r="M1146">
        <f>Table2[[#This Row],[STARTING INVENTORY]]-Table2[[#This Row],[ENDING INVENTORY]]</f>
        <v>68</v>
      </c>
    </row>
    <row r="1147" spans="1:13">
      <c r="A1147" t="s">
        <v>14</v>
      </c>
      <c r="B1147" t="s">
        <v>164</v>
      </c>
      <c r="C1147" t="s">
        <v>62</v>
      </c>
      <c r="D1147" t="s">
        <v>29</v>
      </c>
      <c r="E1147" s="3">
        <v>4.25</v>
      </c>
      <c r="F1147" s="3">
        <v>4.2925000000000004</v>
      </c>
      <c r="G1147">
        <v>2.1</v>
      </c>
      <c r="H1147" s="3">
        <v>8.9250000000000007</v>
      </c>
      <c r="I1147">
        <v>105</v>
      </c>
      <c r="J1147">
        <v>5</v>
      </c>
      <c r="K1147">
        <v>64</v>
      </c>
      <c r="L1147" s="13">
        <f>(Table2[[#This Row],[STARTING INVENTORY]]-Table2[[#This Row],[ENDING INVENTORY]])/(Table2[[#This Row],[STARTING INVENTORY]])</f>
        <v>0.39047619047619048</v>
      </c>
      <c r="M1147">
        <f>Table2[[#This Row],[STARTING INVENTORY]]-Table2[[#This Row],[ENDING INVENTORY]]</f>
        <v>41</v>
      </c>
    </row>
    <row r="1148" spans="1:13">
      <c r="A1148" t="s">
        <v>14</v>
      </c>
      <c r="B1148" t="s">
        <v>164</v>
      </c>
      <c r="C1148" t="s">
        <v>68</v>
      </c>
      <c r="D1148" t="s">
        <v>29</v>
      </c>
      <c r="E1148" s="3">
        <v>5.0999999999999996</v>
      </c>
      <c r="F1148" s="3">
        <v>5.1509999999999998</v>
      </c>
      <c r="G1148">
        <v>2.0099999999999998</v>
      </c>
      <c r="H1148" s="3">
        <v>10.250999999999998</v>
      </c>
      <c r="I1148">
        <v>97</v>
      </c>
      <c r="J1148">
        <v>0</v>
      </c>
      <c r="K1148">
        <v>16</v>
      </c>
      <c r="L1148" s="13">
        <f>(Table2[[#This Row],[STARTING INVENTORY]]-Table2[[#This Row],[ENDING INVENTORY]])/(Table2[[#This Row],[STARTING INVENTORY]])</f>
        <v>0.83505154639175261</v>
      </c>
      <c r="M1148">
        <f>Table2[[#This Row],[STARTING INVENTORY]]-Table2[[#This Row],[ENDING INVENTORY]]</f>
        <v>81</v>
      </c>
    </row>
    <row r="1149" spans="1:13">
      <c r="A1149" t="s">
        <v>14</v>
      </c>
      <c r="B1149" t="s">
        <v>164</v>
      </c>
      <c r="C1149" t="s">
        <v>74</v>
      </c>
      <c r="D1149" t="s">
        <v>29</v>
      </c>
      <c r="E1149" s="3">
        <v>2.8</v>
      </c>
      <c r="F1149" s="3">
        <v>2.8279999999999998</v>
      </c>
      <c r="G1149">
        <v>1.99</v>
      </c>
      <c r="H1149" s="3">
        <v>5.5720000000000001</v>
      </c>
      <c r="I1149">
        <v>34</v>
      </c>
      <c r="J1149">
        <v>6</v>
      </c>
      <c r="K1149">
        <v>21</v>
      </c>
      <c r="L1149" s="13">
        <f>(Table2[[#This Row],[STARTING INVENTORY]]-Table2[[#This Row],[ENDING INVENTORY]])/(Table2[[#This Row],[STARTING INVENTORY]])</f>
        <v>0.38235294117647056</v>
      </c>
      <c r="M1149">
        <f>Table2[[#This Row],[STARTING INVENTORY]]-Table2[[#This Row],[ENDING INVENTORY]]</f>
        <v>13</v>
      </c>
    </row>
    <row r="1150" spans="1:13">
      <c r="A1150" t="s">
        <v>14</v>
      </c>
      <c r="B1150" t="s">
        <v>164</v>
      </c>
      <c r="C1150" t="s">
        <v>80</v>
      </c>
      <c r="D1150" t="s">
        <v>29</v>
      </c>
      <c r="E1150" s="3">
        <v>4</v>
      </c>
      <c r="F1150" s="3">
        <v>4.04</v>
      </c>
      <c r="G1150">
        <v>2.0300000000000002</v>
      </c>
      <c r="H1150" s="3">
        <v>8.120000000000001</v>
      </c>
      <c r="I1150">
        <v>66</v>
      </c>
      <c r="J1150">
        <v>0</v>
      </c>
      <c r="K1150">
        <v>40</v>
      </c>
      <c r="L1150" s="13">
        <f>(Table2[[#This Row],[STARTING INVENTORY]]-Table2[[#This Row],[ENDING INVENTORY]])/(Table2[[#This Row],[STARTING INVENTORY]])</f>
        <v>0.39393939393939392</v>
      </c>
      <c r="M1150">
        <f>Table2[[#This Row],[STARTING INVENTORY]]-Table2[[#This Row],[ENDING INVENTORY]]</f>
        <v>26</v>
      </c>
    </row>
    <row r="1151" spans="1:13">
      <c r="A1151" t="s">
        <v>14</v>
      </c>
      <c r="B1151" t="s">
        <v>164</v>
      </c>
      <c r="C1151" t="s">
        <v>86</v>
      </c>
      <c r="D1151" t="s">
        <v>29</v>
      </c>
      <c r="E1151" s="3">
        <v>9</v>
      </c>
      <c r="F1151" s="3">
        <v>9.09</v>
      </c>
      <c r="G1151">
        <v>2.1</v>
      </c>
      <c r="H1151" s="3">
        <v>18.900000000000002</v>
      </c>
      <c r="I1151">
        <v>101</v>
      </c>
      <c r="J1151">
        <v>1</v>
      </c>
      <c r="K1151">
        <v>92</v>
      </c>
      <c r="L1151" s="13">
        <f>(Table2[[#This Row],[STARTING INVENTORY]]-Table2[[#This Row],[ENDING INVENTORY]])/(Table2[[#This Row],[STARTING INVENTORY]])</f>
        <v>8.9108910891089105E-2</v>
      </c>
      <c r="M1151">
        <f>Table2[[#This Row],[STARTING INVENTORY]]-Table2[[#This Row],[ENDING INVENTORY]]</f>
        <v>9</v>
      </c>
    </row>
    <row r="1152" spans="1:13">
      <c r="A1152" t="s">
        <v>14</v>
      </c>
      <c r="B1152" t="s">
        <v>164</v>
      </c>
      <c r="C1152" t="s">
        <v>92</v>
      </c>
      <c r="D1152" t="s">
        <v>29</v>
      </c>
      <c r="E1152" s="3">
        <v>2.75</v>
      </c>
      <c r="F1152" s="3">
        <v>2.7774999999999999</v>
      </c>
      <c r="G1152">
        <v>1.95</v>
      </c>
      <c r="H1152" s="3">
        <v>5.3624999999999998</v>
      </c>
      <c r="I1152">
        <v>60</v>
      </c>
      <c r="J1152">
        <v>2</v>
      </c>
      <c r="K1152">
        <v>3</v>
      </c>
      <c r="L1152" s="13">
        <f>(Table2[[#This Row],[STARTING INVENTORY]]-Table2[[#This Row],[ENDING INVENTORY]])/(Table2[[#This Row],[STARTING INVENTORY]])</f>
        <v>0.95</v>
      </c>
      <c r="M1152">
        <f>Table2[[#This Row],[STARTING INVENTORY]]-Table2[[#This Row],[ENDING INVENTORY]]</f>
        <v>57</v>
      </c>
    </row>
    <row r="1153" spans="1:13">
      <c r="A1153" t="s">
        <v>14</v>
      </c>
      <c r="B1153" t="s">
        <v>164</v>
      </c>
      <c r="C1153" t="s">
        <v>98</v>
      </c>
      <c r="D1153" t="s">
        <v>29</v>
      </c>
      <c r="E1153" s="3">
        <v>3.9</v>
      </c>
      <c r="F1153" s="3">
        <v>3.9390000000000001</v>
      </c>
      <c r="G1153">
        <v>2.08</v>
      </c>
      <c r="H1153" s="3">
        <v>8.1120000000000001</v>
      </c>
      <c r="I1153">
        <v>38</v>
      </c>
      <c r="J1153">
        <v>2</v>
      </c>
      <c r="K1153">
        <v>4</v>
      </c>
      <c r="L1153" s="13">
        <f>(Table2[[#This Row],[STARTING INVENTORY]]-Table2[[#This Row],[ENDING INVENTORY]])/(Table2[[#This Row],[STARTING INVENTORY]])</f>
        <v>0.89473684210526316</v>
      </c>
      <c r="M1153">
        <f>Table2[[#This Row],[STARTING INVENTORY]]-Table2[[#This Row],[ENDING INVENTORY]]</f>
        <v>34</v>
      </c>
    </row>
    <row r="1154" spans="1:13">
      <c r="A1154" t="s">
        <v>14</v>
      </c>
      <c r="B1154" t="s">
        <v>164</v>
      </c>
      <c r="C1154" t="s">
        <v>104</v>
      </c>
      <c r="D1154" t="s">
        <v>29</v>
      </c>
      <c r="E1154" s="3">
        <v>4.3</v>
      </c>
      <c r="F1154" s="3">
        <v>4.343</v>
      </c>
      <c r="G1154">
        <v>2.09</v>
      </c>
      <c r="H1154" s="3">
        <v>8.9869999999999983</v>
      </c>
      <c r="I1154">
        <v>80</v>
      </c>
      <c r="J1154">
        <v>1</v>
      </c>
      <c r="K1154">
        <v>10</v>
      </c>
      <c r="L1154" s="13">
        <f>(Table2[[#This Row],[STARTING INVENTORY]]-Table2[[#This Row],[ENDING INVENTORY]])/(Table2[[#This Row],[STARTING INVENTORY]])</f>
        <v>0.875</v>
      </c>
      <c r="M1154">
        <f>Table2[[#This Row],[STARTING INVENTORY]]-Table2[[#This Row],[ENDING INVENTORY]]</f>
        <v>70</v>
      </c>
    </row>
    <row r="1155" spans="1:13">
      <c r="A1155" t="s">
        <v>14</v>
      </c>
      <c r="B1155" t="s">
        <v>164</v>
      </c>
      <c r="C1155" t="s">
        <v>110</v>
      </c>
      <c r="D1155" t="s">
        <v>29</v>
      </c>
      <c r="E1155" s="3">
        <v>4</v>
      </c>
      <c r="F1155" s="3">
        <v>4.04</v>
      </c>
      <c r="G1155">
        <v>2</v>
      </c>
      <c r="H1155" s="3">
        <v>8</v>
      </c>
      <c r="I1155">
        <v>58</v>
      </c>
      <c r="J1155">
        <v>7</v>
      </c>
      <c r="K1155">
        <v>50</v>
      </c>
      <c r="L1155" s="13">
        <f>(Table2[[#This Row],[STARTING INVENTORY]]-Table2[[#This Row],[ENDING INVENTORY]])/(Table2[[#This Row],[STARTING INVENTORY]])</f>
        <v>0.13793103448275862</v>
      </c>
      <c r="M1155">
        <f>Table2[[#This Row],[STARTING INVENTORY]]-Table2[[#This Row],[ENDING INVENTORY]]</f>
        <v>8</v>
      </c>
    </row>
    <row r="1156" spans="1:13">
      <c r="A1156" t="s">
        <v>14</v>
      </c>
      <c r="B1156" t="s">
        <v>164</v>
      </c>
      <c r="C1156" t="s">
        <v>116</v>
      </c>
      <c r="D1156" t="s">
        <v>29</v>
      </c>
      <c r="E1156" s="3">
        <v>4.75</v>
      </c>
      <c r="F1156" s="3">
        <v>4.7975000000000003</v>
      </c>
      <c r="G1156">
        <v>1.99</v>
      </c>
      <c r="H1156" s="3">
        <v>9.4525000000000006</v>
      </c>
      <c r="I1156">
        <v>107</v>
      </c>
      <c r="J1156">
        <v>4</v>
      </c>
      <c r="K1156">
        <v>20</v>
      </c>
      <c r="L1156" s="13">
        <f>(Table2[[#This Row],[STARTING INVENTORY]]-Table2[[#This Row],[ENDING INVENTORY]])/(Table2[[#This Row],[STARTING INVENTORY]])</f>
        <v>0.81308411214953269</v>
      </c>
      <c r="M1156">
        <f>Table2[[#This Row],[STARTING INVENTORY]]-Table2[[#This Row],[ENDING INVENTORY]]</f>
        <v>87</v>
      </c>
    </row>
    <row r="1157" spans="1:13">
      <c r="A1157" t="s">
        <v>14</v>
      </c>
      <c r="B1157" t="s">
        <v>164</v>
      </c>
      <c r="C1157" t="s">
        <v>122</v>
      </c>
      <c r="D1157" t="s">
        <v>29</v>
      </c>
      <c r="E1157" s="3">
        <v>2.25</v>
      </c>
      <c r="F1157" s="3">
        <v>2.2725</v>
      </c>
      <c r="G1157">
        <v>2.0300000000000002</v>
      </c>
      <c r="H1157" s="3">
        <v>4.5675000000000008</v>
      </c>
      <c r="I1157">
        <v>69</v>
      </c>
      <c r="J1157">
        <v>3</v>
      </c>
      <c r="K1157">
        <v>25</v>
      </c>
      <c r="L1157" s="13">
        <f>(Table2[[#This Row],[STARTING INVENTORY]]-Table2[[#This Row],[ENDING INVENTORY]])/(Table2[[#This Row],[STARTING INVENTORY]])</f>
        <v>0.6376811594202898</v>
      </c>
      <c r="M1157">
        <f>Table2[[#This Row],[STARTING INVENTORY]]-Table2[[#This Row],[ENDING INVENTORY]]</f>
        <v>44</v>
      </c>
    </row>
    <row r="1158" spans="1:13">
      <c r="A1158" t="s">
        <v>14</v>
      </c>
      <c r="B1158" t="s">
        <v>164</v>
      </c>
      <c r="C1158" t="s">
        <v>128</v>
      </c>
      <c r="D1158" t="s">
        <v>29</v>
      </c>
      <c r="E1158" s="3">
        <v>2.1</v>
      </c>
      <c r="F1158" s="3">
        <v>2.121</v>
      </c>
      <c r="G1158">
        <v>2.0700000000000003</v>
      </c>
      <c r="H1158" s="3">
        <v>4.3470000000000004</v>
      </c>
      <c r="I1158">
        <v>70</v>
      </c>
      <c r="J1158">
        <v>0</v>
      </c>
      <c r="K1158">
        <v>18</v>
      </c>
      <c r="L1158" s="13">
        <f>(Table2[[#This Row],[STARTING INVENTORY]]-Table2[[#This Row],[ENDING INVENTORY]])/(Table2[[#This Row],[STARTING INVENTORY]])</f>
        <v>0.74285714285714288</v>
      </c>
      <c r="M1158">
        <f>Table2[[#This Row],[STARTING INVENTORY]]-Table2[[#This Row],[ENDING INVENTORY]]</f>
        <v>52</v>
      </c>
    </row>
    <row r="1159" spans="1:13">
      <c r="A1159" t="s">
        <v>14</v>
      </c>
      <c r="B1159" t="s">
        <v>164</v>
      </c>
      <c r="C1159" t="s">
        <v>134</v>
      </c>
      <c r="D1159" t="s">
        <v>29</v>
      </c>
      <c r="E1159" s="3">
        <v>2</v>
      </c>
      <c r="F1159" s="3">
        <v>2.02</v>
      </c>
      <c r="G1159">
        <v>2.06</v>
      </c>
      <c r="H1159" s="3">
        <v>4.12</v>
      </c>
      <c r="I1159">
        <v>115</v>
      </c>
      <c r="J1159">
        <v>7</v>
      </c>
      <c r="K1159">
        <v>108</v>
      </c>
      <c r="L1159" s="13">
        <f>(Table2[[#This Row],[STARTING INVENTORY]]-Table2[[#This Row],[ENDING INVENTORY]])/(Table2[[#This Row],[STARTING INVENTORY]])</f>
        <v>6.0869565217391307E-2</v>
      </c>
      <c r="M1159">
        <f>Table2[[#This Row],[STARTING INVENTORY]]-Table2[[#This Row],[ENDING INVENTORY]]</f>
        <v>7</v>
      </c>
    </row>
    <row r="1160" spans="1:13">
      <c r="A1160" t="s">
        <v>14</v>
      </c>
      <c r="B1160" t="s">
        <v>164</v>
      </c>
      <c r="C1160" t="s">
        <v>140</v>
      </c>
      <c r="D1160" t="s">
        <v>33</v>
      </c>
      <c r="E1160" s="3">
        <v>4.5</v>
      </c>
      <c r="F1160" s="3">
        <v>4.5449999999999999</v>
      </c>
      <c r="G1160">
        <v>2.1</v>
      </c>
      <c r="H1160" s="3">
        <v>9.4500000000000011</v>
      </c>
      <c r="I1160">
        <v>40</v>
      </c>
      <c r="J1160">
        <v>7</v>
      </c>
      <c r="K1160">
        <v>6</v>
      </c>
      <c r="L1160" s="13">
        <f>(Table2[[#This Row],[STARTING INVENTORY]]-Table2[[#This Row],[ENDING INVENTORY]])/(Table2[[#This Row],[STARTING INVENTORY]])</f>
        <v>0.85</v>
      </c>
      <c r="M1160">
        <f>Table2[[#This Row],[STARTING INVENTORY]]-Table2[[#This Row],[ENDING INVENTORY]]</f>
        <v>34</v>
      </c>
    </row>
    <row r="1161" spans="1:13">
      <c r="A1161" t="s">
        <v>14</v>
      </c>
      <c r="B1161" t="s">
        <v>164</v>
      </c>
      <c r="C1161" t="s">
        <v>146</v>
      </c>
      <c r="D1161" t="s">
        <v>33</v>
      </c>
      <c r="E1161" s="3">
        <v>3.75</v>
      </c>
      <c r="F1161" s="3">
        <v>3.7875000000000001</v>
      </c>
      <c r="G1161">
        <v>2.02</v>
      </c>
      <c r="H1161" s="3">
        <v>7.5750000000000002</v>
      </c>
      <c r="I1161">
        <v>52</v>
      </c>
      <c r="J1161">
        <v>5</v>
      </c>
      <c r="K1161">
        <v>46</v>
      </c>
      <c r="L1161" s="13">
        <f>(Table2[[#This Row],[STARTING INVENTORY]]-Table2[[#This Row],[ENDING INVENTORY]])/(Table2[[#This Row],[STARTING INVENTORY]])</f>
        <v>0.11538461538461539</v>
      </c>
      <c r="M1161">
        <f>Table2[[#This Row],[STARTING INVENTORY]]-Table2[[#This Row],[ENDING INVENTORY]]</f>
        <v>6</v>
      </c>
    </row>
    <row r="1162" spans="1:13">
      <c r="A1162" t="s">
        <v>14</v>
      </c>
      <c r="B1162" t="s">
        <v>165</v>
      </c>
      <c r="C1162" t="s">
        <v>35</v>
      </c>
      <c r="D1162" t="s">
        <v>33</v>
      </c>
      <c r="E1162" s="3">
        <v>2</v>
      </c>
      <c r="F1162" s="3">
        <v>2.02</v>
      </c>
      <c r="G1162">
        <v>1.99</v>
      </c>
      <c r="H1162" s="3">
        <v>3.98</v>
      </c>
      <c r="I1162">
        <v>60</v>
      </c>
      <c r="J1162">
        <v>0</v>
      </c>
      <c r="K1162">
        <v>54</v>
      </c>
      <c r="L1162" s="13">
        <f>(Table2[[#This Row],[STARTING INVENTORY]]-Table2[[#This Row],[ENDING INVENTORY]])/(Table2[[#This Row],[STARTING INVENTORY]])</f>
        <v>0.1</v>
      </c>
      <c r="M1162">
        <f>Table2[[#This Row],[STARTING INVENTORY]]-Table2[[#This Row],[ENDING INVENTORY]]</f>
        <v>6</v>
      </c>
    </row>
    <row r="1163" spans="1:13">
      <c r="A1163" t="s">
        <v>14</v>
      </c>
      <c r="B1163" t="s">
        <v>165</v>
      </c>
      <c r="C1163" t="s">
        <v>41</v>
      </c>
      <c r="D1163" t="s">
        <v>33</v>
      </c>
      <c r="E1163" s="3">
        <v>1.95</v>
      </c>
      <c r="F1163" s="3">
        <v>1.9695</v>
      </c>
      <c r="G1163">
        <v>2.0300000000000002</v>
      </c>
      <c r="H1163" s="3">
        <v>3.9585000000000004</v>
      </c>
      <c r="I1163">
        <v>105</v>
      </c>
      <c r="J1163">
        <v>0</v>
      </c>
      <c r="K1163">
        <v>70</v>
      </c>
      <c r="L1163" s="13">
        <f>(Table2[[#This Row],[STARTING INVENTORY]]-Table2[[#This Row],[ENDING INVENTORY]])/(Table2[[#This Row],[STARTING INVENTORY]])</f>
        <v>0.33333333333333331</v>
      </c>
      <c r="M1163">
        <f>Table2[[#This Row],[STARTING INVENTORY]]-Table2[[#This Row],[ENDING INVENTORY]]</f>
        <v>35</v>
      </c>
    </row>
    <row r="1164" spans="1:13">
      <c r="A1164" t="s">
        <v>14</v>
      </c>
      <c r="B1164" t="s">
        <v>165</v>
      </c>
      <c r="C1164" t="s">
        <v>47</v>
      </c>
      <c r="D1164" t="s">
        <v>33</v>
      </c>
      <c r="E1164" s="3">
        <v>1.9</v>
      </c>
      <c r="F1164" s="3">
        <v>1.9189999999999998</v>
      </c>
      <c r="G1164">
        <v>1.99</v>
      </c>
      <c r="H1164" s="3">
        <v>3.7809999999999997</v>
      </c>
      <c r="I1164">
        <v>160</v>
      </c>
      <c r="J1164">
        <v>0</v>
      </c>
      <c r="K1164">
        <v>153</v>
      </c>
      <c r="L1164" s="13">
        <f>(Table2[[#This Row],[STARTING INVENTORY]]-Table2[[#This Row],[ENDING INVENTORY]])/(Table2[[#This Row],[STARTING INVENTORY]])</f>
        <v>4.3749999999999997E-2</v>
      </c>
      <c r="M1164">
        <f>Table2[[#This Row],[STARTING INVENTORY]]-Table2[[#This Row],[ENDING INVENTORY]]</f>
        <v>7</v>
      </c>
    </row>
    <row r="1165" spans="1:13">
      <c r="A1165" t="s">
        <v>14</v>
      </c>
      <c r="B1165" t="s">
        <v>165</v>
      </c>
      <c r="C1165" t="s">
        <v>53</v>
      </c>
      <c r="D1165" t="s">
        <v>33</v>
      </c>
      <c r="E1165" s="3">
        <v>3.1</v>
      </c>
      <c r="F1165" s="3">
        <v>3.1310000000000002</v>
      </c>
      <c r="G1165">
        <v>2.06</v>
      </c>
      <c r="H1165" s="3">
        <v>6.3860000000000001</v>
      </c>
      <c r="I1165">
        <v>80</v>
      </c>
      <c r="J1165">
        <v>0</v>
      </c>
      <c r="K1165">
        <v>39</v>
      </c>
      <c r="L1165" s="13">
        <f>(Table2[[#This Row],[STARTING INVENTORY]]-Table2[[#This Row],[ENDING INVENTORY]])/(Table2[[#This Row],[STARTING INVENTORY]])</f>
        <v>0.51249999999999996</v>
      </c>
      <c r="M1165">
        <f>Table2[[#This Row],[STARTING INVENTORY]]-Table2[[#This Row],[ENDING INVENTORY]]</f>
        <v>41</v>
      </c>
    </row>
    <row r="1166" spans="1:13">
      <c r="A1166" t="s">
        <v>14</v>
      </c>
      <c r="B1166" t="s">
        <v>165</v>
      </c>
      <c r="C1166" t="s">
        <v>59</v>
      </c>
      <c r="D1166" t="s">
        <v>33</v>
      </c>
      <c r="E1166" s="3">
        <v>2</v>
      </c>
      <c r="F1166" s="3">
        <v>2.02</v>
      </c>
      <c r="G1166">
        <v>2.0700000000000003</v>
      </c>
      <c r="H1166" s="3">
        <v>4.1400000000000006</v>
      </c>
      <c r="I1166">
        <v>149</v>
      </c>
      <c r="J1166">
        <v>1</v>
      </c>
      <c r="K1166">
        <v>132</v>
      </c>
      <c r="L1166" s="13">
        <f>(Table2[[#This Row],[STARTING INVENTORY]]-Table2[[#This Row],[ENDING INVENTORY]])/(Table2[[#This Row],[STARTING INVENTORY]])</f>
        <v>0.11409395973154363</v>
      </c>
      <c r="M1166">
        <f>Table2[[#This Row],[STARTING INVENTORY]]-Table2[[#This Row],[ENDING INVENTORY]]</f>
        <v>17</v>
      </c>
    </row>
    <row r="1167" spans="1:13">
      <c r="A1167" t="s">
        <v>14</v>
      </c>
      <c r="B1167" t="s">
        <v>165</v>
      </c>
      <c r="C1167" t="s">
        <v>65</v>
      </c>
      <c r="D1167" t="s">
        <v>33</v>
      </c>
      <c r="E1167" s="3">
        <v>1.7</v>
      </c>
      <c r="F1167" s="3">
        <v>1.7169999999999999</v>
      </c>
      <c r="G1167">
        <v>1.97</v>
      </c>
      <c r="H1167" s="3">
        <v>3.3489999999999998</v>
      </c>
      <c r="I1167">
        <v>169</v>
      </c>
      <c r="J1167">
        <v>7</v>
      </c>
      <c r="K1167">
        <v>148</v>
      </c>
      <c r="L1167" s="13">
        <f>(Table2[[#This Row],[STARTING INVENTORY]]-Table2[[#This Row],[ENDING INVENTORY]])/(Table2[[#This Row],[STARTING INVENTORY]])</f>
        <v>0.1242603550295858</v>
      </c>
      <c r="M1167">
        <f>Table2[[#This Row],[STARTING INVENTORY]]-Table2[[#This Row],[ENDING INVENTORY]]</f>
        <v>21</v>
      </c>
    </row>
    <row r="1168" spans="1:13">
      <c r="A1168" t="s">
        <v>14</v>
      </c>
      <c r="B1168" t="s">
        <v>165</v>
      </c>
      <c r="C1168" t="s">
        <v>71</v>
      </c>
      <c r="D1168" t="s">
        <v>33</v>
      </c>
      <c r="E1168" s="3">
        <v>1.5</v>
      </c>
      <c r="F1168" s="3">
        <v>1.5150000000000001</v>
      </c>
      <c r="G1168">
        <v>2.0700000000000003</v>
      </c>
      <c r="H1168" s="3">
        <v>3.1050000000000004</v>
      </c>
      <c r="I1168">
        <v>95</v>
      </c>
      <c r="J1168">
        <v>2</v>
      </c>
      <c r="K1168">
        <v>77</v>
      </c>
      <c r="L1168" s="13">
        <f>(Table2[[#This Row],[STARTING INVENTORY]]-Table2[[#This Row],[ENDING INVENTORY]])/(Table2[[#This Row],[STARTING INVENTORY]])</f>
        <v>0.18947368421052632</v>
      </c>
      <c r="M1168">
        <f>Table2[[#This Row],[STARTING INVENTORY]]-Table2[[#This Row],[ENDING INVENTORY]]</f>
        <v>18</v>
      </c>
    </row>
    <row r="1169" spans="1:13">
      <c r="A1169" t="s">
        <v>14</v>
      </c>
      <c r="B1169" t="s">
        <v>165</v>
      </c>
      <c r="C1169" t="s">
        <v>77</v>
      </c>
      <c r="D1169" t="s">
        <v>33</v>
      </c>
      <c r="E1169" s="3">
        <v>2.65</v>
      </c>
      <c r="F1169" s="3">
        <v>2.6764999999999999</v>
      </c>
      <c r="G1169">
        <v>2.04</v>
      </c>
      <c r="H1169" s="3">
        <v>5.4059999999999997</v>
      </c>
      <c r="I1169">
        <v>113</v>
      </c>
      <c r="J1169">
        <v>0</v>
      </c>
      <c r="K1169">
        <v>3</v>
      </c>
      <c r="L1169" s="13">
        <f>(Table2[[#This Row],[STARTING INVENTORY]]-Table2[[#This Row],[ENDING INVENTORY]])/(Table2[[#This Row],[STARTING INVENTORY]])</f>
        <v>0.97345132743362828</v>
      </c>
      <c r="M1169">
        <f>Table2[[#This Row],[STARTING INVENTORY]]-Table2[[#This Row],[ENDING INVENTORY]]</f>
        <v>110</v>
      </c>
    </row>
    <row r="1170" spans="1:13">
      <c r="A1170" t="s">
        <v>14</v>
      </c>
      <c r="B1170" t="s">
        <v>165</v>
      </c>
      <c r="C1170" t="s">
        <v>83</v>
      </c>
      <c r="D1170" t="s">
        <v>33</v>
      </c>
      <c r="E1170" s="3">
        <v>1.2</v>
      </c>
      <c r="F1170" s="3">
        <v>1.212</v>
      </c>
      <c r="G1170">
        <v>2.02</v>
      </c>
      <c r="H1170" s="3">
        <v>2.4239999999999999</v>
      </c>
      <c r="I1170">
        <v>146</v>
      </c>
      <c r="J1170">
        <v>1</v>
      </c>
      <c r="K1170">
        <v>22</v>
      </c>
      <c r="L1170" s="13">
        <f>(Table2[[#This Row],[STARTING INVENTORY]]-Table2[[#This Row],[ENDING INVENTORY]])/(Table2[[#This Row],[STARTING INVENTORY]])</f>
        <v>0.84931506849315064</v>
      </c>
      <c r="M1170">
        <f>Table2[[#This Row],[STARTING INVENTORY]]-Table2[[#This Row],[ENDING INVENTORY]]</f>
        <v>124</v>
      </c>
    </row>
    <row r="1171" spans="1:13">
      <c r="A1171" t="s">
        <v>14</v>
      </c>
      <c r="B1171" t="s">
        <v>165</v>
      </c>
      <c r="C1171" t="s">
        <v>89</v>
      </c>
      <c r="D1171" t="s">
        <v>33</v>
      </c>
      <c r="E1171" s="3">
        <v>1.4</v>
      </c>
      <c r="F1171" s="3">
        <v>1.4139999999999999</v>
      </c>
      <c r="G1171">
        <v>1.97</v>
      </c>
      <c r="H1171" s="3">
        <v>2.758</v>
      </c>
      <c r="I1171">
        <v>116</v>
      </c>
      <c r="J1171">
        <v>0</v>
      </c>
      <c r="K1171">
        <v>105</v>
      </c>
      <c r="L1171" s="13">
        <f>(Table2[[#This Row],[STARTING INVENTORY]]-Table2[[#This Row],[ENDING INVENTORY]])/(Table2[[#This Row],[STARTING INVENTORY]])</f>
        <v>9.4827586206896547E-2</v>
      </c>
      <c r="M1171">
        <f>Table2[[#This Row],[STARTING INVENTORY]]-Table2[[#This Row],[ENDING INVENTORY]]</f>
        <v>11</v>
      </c>
    </row>
    <row r="1172" spans="1:13">
      <c r="A1172" t="s">
        <v>14</v>
      </c>
      <c r="B1172" t="s">
        <v>165</v>
      </c>
      <c r="C1172" t="s">
        <v>95</v>
      </c>
      <c r="D1172" t="s">
        <v>33</v>
      </c>
      <c r="E1172" s="3">
        <v>1.6</v>
      </c>
      <c r="F1172" s="3">
        <v>1.6160000000000001</v>
      </c>
      <c r="G1172">
        <v>1.95</v>
      </c>
      <c r="H1172" s="3">
        <v>3.12</v>
      </c>
      <c r="I1172">
        <v>60</v>
      </c>
      <c r="J1172">
        <v>0</v>
      </c>
      <c r="K1172">
        <v>19</v>
      </c>
      <c r="L1172" s="13">
        <f>(Table2[[#This Row],[STARTING INVENTORY]]-Table2[[#This Row],[ENDING INVENTORY]])/(Table2[[#This Row],[STARTING INVENTORY]])</f>
        <v>0.68333333333333335</v>
      </c>
      <c r="M1172">
        <f>Table2[[#This Row],[STARTING INVENTORY]]-Table2[[#This Row],[ENDING INVENTORY]]</f>
        <v>41</v>
      </c>
    </row>
    <row r="1173" spans="1:13">
      <c r="A1173" t="s">
        <v>14</v>
      </c>
      <c r="B1173" t="s">
        <v>165</v>
      </c>
      <c r="C1173" t="s">
        <v>101</v>
      </c>
      <c r="D1173" t="s">
        <v>33</v>
      </c>
      <c r="E1173" s="3">
        <v>0.7</v>
      </c>
      <c r="F1173" s="3">
        <v>0.70699999999999996</v>
      </c>
      <c r="G1173">
        <v>1.97</v>
      </c>
      <c r="H1173" s="3">
        <v>1.379</v>
      </c>
      <c r="I1173">
        <v>122</v>
      </c>
      <c r="J1173">
        <v>1</v>
      </c>
      <c r="K1173">
        <v>14</v>
      </c>
      <c r="L1173" s="13">
        <f>(Table2[[#This Row],[STARTING INVENTORY]]-Table2[[#This Row],[ENDING INVENTORY]])/(Table2[[#This Row],[STARTING INVENTORY]])</f>
        <v>0.88524590163934425</v>
      </c>
      <c r="M1173">
        <f>Table2[[#This Row],[STARTING INVENTORY]]-Table2[[#This Row],[ENDING INVENTORY]]</f>
        <v>108</v>
      </c>
    </row>
    <row r="1174" spans="1:13">
      <c r="A1174" t="s">
        <v>14</v>
      </c>
      <c r="B1174" t="s">
        <v>165</v>
      </c>
      <c r="C1174" t="s">
        <v>107</v>
      </c>
      <c r="D1174" t="s">
        <v>33</v>
      </c>
      <c r="E1174" s="3">
        <v>0.55000000000000004</v>
      </c>
      <c r="F1174" s="3">
        <v>0.5555000000000001</v>
      </c>
      <c r="G1174">
        <v>2</v>
      </c>
      <c r="H1174" s="3">
        <v>1.1000000000000001</v>
      </c>
      <c r="I1174">
        <v>113</v>
      </c>
      <c r="J1174">
        <v>1</v>
      </c>
      <c r="K1174">
        <v>108</v>
      </c>
      <c r="L1174" s="13">
        <f>(Table2[[#This Row],[STARTING INVENTORY]]-Table2[[#This Row],[ENDING INVENTORY]])/(Table2[[#This Row],[STARTING INVENTORY]])</f>
        <v>4.4247787610619468E-2</v>
      </c>
      <c r="M1174">
        <f>Table2[[#This Row],[STARTING INVENTORY]]-Table2[[#This Row],[ENDING INVENTORY]]</f>
        <v>5</v>
      </c>
    </row>
    <row r="1175" spans="1:13">
      <c r="A1175" t="s">
        <v>14</v>
      </c>
      <c r="B1175" t="s">
        <v>165</v>
      </c>
      <c r="C1175" t="s">
        <v>113</v>
      </c>
      <c r="D1175" t="s">
        <v>33</v>
      </c>
      <c r="E1175" s="3">
        <v>1.4</v>
      </c>
      <c r="F1175" s="3">
        <v>1.4139999999999999</v>
      </c>
      <c r="G1175">
        <v>2.09</v>
      </c>
      <c r="H1175" s="3">
        <v>2.9259999999999997</v>
      </c>
      <c r="I1175">
        <v>114</v>
      </c>
      <c r="J1175">
        <v>5</v>
      </c>
      <c r="K1175">
        <v>92</v>
      </c>
      <c r="L1175" s="13">
        <f>(Table2[[#This Row],[STARTING INVENTORY]]-Table2[[#This Row],[ENDING INVENTORY]])/(Table2[[#This Row],[STARTING INVENTORY]])</f>
        <v>0.19298245614035087</v>
      </c>
      <c r="M1175">
        <f>Table2[[#This Row],[STARTING INVENTORY]]-Table2[[#This Row],[ENDING INVENTORY]]</f>
        <v>22</v>
      </c>
    </row>
    <row r="1176" spans="1:13">
      <c r="A1176" t="s">
        <v>14</v>
      </c>
      <c r="B1176" t="s">
        <v>165</v>
      </c>
      <c r="C1176" t="s">
        <v>119</v>
      </c>
      <c r="D1176" t="s">
        <v>33</v>
      </c>
      <c r="E1176" s="3">
        <v>2</v>
      </c>
      <c r="F1176" s="3">
        <v>2.02</v>
      </c>
      <c r="G1176">
        <v>2</v>
      </c>
      <c r="H1176" s="3">
        <v>4</v>
      </c>
      <c r="I1176">
        <v>174</v>
      </c>
      <c r="J1176">
        <v>9</v>
      </c>
      <c r="K1176">
        <v>135</v>
      </c>
      <c r="L1176" s="13">
        <f>(Table2[[#This Row],[STARTING INVENTORY]]-Table2[[#This Row],[ENDING INVENTORY]])/(Table2[[#This Row],[STARTING INVENTORY]])</f>
        <v>0.22413793103448276</v>
      </c>
      <c r="M1176">
        <f>Table2[[#This Row],[STARTING INVENTORY]]-Table2[[#This Row],[ENDING INVENTORY]]</f>
        <v>39</v>
      </c>
    </row>
    <row r="1177" spans="1:13">
      <c r="A1177" t="s">
        <v>14</v>
      </c>
      <c r="B1177" t="s">
        <v>165</v>
      </c>
      <c r="C1177" t="s">
        <v>125</v>
      </c>
      <c r="D1177" t="s">
        <v>33</v>
      </c>
      <c r="E1177" s="3">
        <v>2.25</v>
      </c>
      <c r="F1177" s="3">
        <v>2.2725</v>
      </c>
      <c r="G1177">
        <v>2.0499999999999998</v>
      </c>
      <c r="H1177" s="3">
        <v>4.6124999999999998</v>
      </c>
      <c r="I1177">
        <v>99</v>
      </c>
      <c r="J1177">
        <v>1</v>
      </c>
      <c r="K1177">
        <v>40</v>
      </c>
      <c r="L1177" s="13">
        <f>(Table2[[#This Row],[STARTING INVENTORY]]-Table2[[#This Row],[ENDING INVENTORY]])/(Table2[[#This Row],[STARTING INVENTORY]])</f>
        <v>0.59595959595959591</v>
      </c>
      <c r="M1177">
        <f>Table2[[#This Row],[STARTING INVENTORY]]-Table2[[#This Row],[ENDING INVENTORY]]</f>
        <v>59</v>
      </c>
    </row>
    <row r="1178" spans="1:13">
      <c r="A1178" t="s">
        <v>14</v>
      </c>
      <c r="B1178" t="s">
        <v>165</v>
      </c>
      <c r="C1178" t="s">
        <v>131</v>
      </c>
      <c r="D1178" t="s">
        <v>33</v>
      </c>
      <c r="E1178" s="3">
        <v>3.4</v>
      </c>
      <c r="F1178" s="3">
        <v>3.4339999999999997</v>
      </c>
      <c r="G1178">
        <v>2</v>
      </c>
      <c r="H1178" s="3">
        <v>6.8</v>
      </c>
      <c r="I1178">
        <v>74</v>
      </c>
      <c r="J1178">
        <v>1</v>
      </c>
      <c r="K1178">
        <v>18</v>
      </c>
      <c r="L1178" s="13">
        <f>(Table2[[#This Row],[STARTING INVENTORY]]-Table2[[#This Row],[ENDING INVENTORY]])/(Table2[[#This Row],[STARTING INVENTORY]])</f>
        <v>0.7567567567567568</v>
      </c>
      <c r="M1178">
        <f>Table2[[#This Row],[STARTING INVENTORY]]-Table2[[#This Row],[ENDING INVENTORY]]</f>
        <v>56</v>
      </c>
    </row>
    <row r="1179" spans="1:13">
      <c r="A1179" t="s">
        <v>14</v>
      </c>
      <c r="B1179" t="s">
        <v>165</v>
      </c>
      <c r="C1179" t="s">
        <v>137</v>
      </c>
      <c r="D1179" t="s">
        <v>33</v>
      </c>
      <c r="E1179" s="3">
        <v>3.1</v>
      </c>
      <c r="F1179" s="3">
        <v>3.1310000000000002</v>
      </c>
      <c r="G1179">
        <v>2.02</v>
      </c>
      <c r="H1179" s="3">
        <v>6.2620000000000005</v>
      </c>
      <c r="I1179">
        <v>80</v>
      </c>
      <c r="J1179">
        <v>5</v>
      </c>
      <c r="K1179">
        <v>45</v>
      </c>
      <c r="L1179" s="13">
        <f>(Table2[[#This Row],[STARTING INVENTORY]]-Table2[[#This Row],[ENDING INVENTORY]])/(Table2[[#This Row],[STARTING INVENTORY]])</f>
        <v>0.4375</v>
      </c>
      <c r="M1179">
        <f>Table2[[#This Row],[STARTING INVENTORY]]-Table2[[#This Row],[ENDING INVENTORY]]</f>
        <v>35</v>
      </c>
    </row>
    <row r="1180" spans="1:13">
      <c r="A1180" t="s">
        <v>14</v>
      </c>
      <c r="B1180" t="s">
        <v>165</v>
      </c>
      <c r="C1180" t="s">
        <v>143</v>
      </c>
      <c r="D1180" t="s">
        <v>33</v>
      </c>
      <c r="E1180" s="3">
        <v>1.5</v>
      </c>
      <c r="F1180" s="3">
        <v>1.5150000000000001</v>
      </c>
      <c r="G1180">
        <v>2.04</v>
      </c>
      <c r="H1180" s="3">
        <v>3.06</v>
      </c>
      <c r="I1180">
        <v>106</v>
      </c>
      <c r="J1180">
        <v>1</v>
      </c>
      <c r="K1180">
        <v>27</v>
      </c>
      <c r="L1180" s="13">
        <f>(Table2[[#This Row],[STARTING INVENTORY]]-Table2[[#This Row],[ENDING INVENTORY]])/(Table2[[#This Row],[STARTING INVENTORY]])</f>
        <v>0.74528301886792447</v>
      </c>
      <c r="M1180">
        <f>Table2[[#This Row],[STARTING INVENTORY]]-Table2[[#This Row],[ENDING INVENTORY]]</f>
        <v>79</v>
      </c>
    </row>
    <row r="1181" spans="1:13">
      <c r="A1181" t="s">
        <v>14</v>
      </c>
      <c r="B1181" t="s">
        <v>165</v>
      </c>
      <c r="C1181" t="s">
        <v>149</v>
      </c>
      <c r="D1181" t="s">
        <v>33</v>
      </c>
      <c r="E1181" s="3">
        <v>1.9</v>
      </c>
      <c r="F1181" s="3">
        <v>1.9189999999999998</v>
      </c>
      <c r="G1181">
        <v>1.97</v>
      </c>
      <c r="H1181" s="3">
        <v>3.7429999999999999</v>
      </c>
      <c r="I1181">
        <v>132</v>
      </c>
      <c r="J1181">
        <v>0</v>
      </c>
      <c r="K1181">
        <v>67</v>
      </c>
      <c r="L1181" s="13">
        <f>(Table2[[#This Row],[STARTING INVENTORY]]-Table2[[#This Row],[ENDING INVENTORY]])/(Table2[[#This Row],[STARTING INVENTORY]])</f>
        <v>0.49242424242424243</v>
      </c>
      <c r="M1181">
        <f>Table2[[#This Row],[STARTING INVENTORY]]-Table2[[#This Row],[ENDING INVENTORY]]</f>
        <v>65</v>
      </c>
    </row>
    <row r="1182" spans="1:13">
      <c r="A1182" t="s">
        <v>14</v>
      </c>
      <c r="B1182" t="s">
        <v>166</v>
      </c>
      <c r="C1182" t="s">
        <v>34</v>
      </c>
      <c r="D1182" t="s">
        <v>33</v>
      </c>
      <c r="E1182" s="3">
        <v>1.3</v>
      </c>
      <c r="F1182" s="3">
        <v>1.3130000000000002</v>
      </c>
      <c r="G1182">
        <v>2.02</v>
      </c>
      <c r="H1182" s="3">
        <v>2.6260000000000003</v>
      </c>
      <c r="I1182">
        <v>92</v>
      </c>
      <c r="J1182">
        <v>6</v>
      </c>
      <c r="K1182">
        <v>14</v>
      </c>
      <c r="L1182" s="13">
        <f>(Table2[[#This Row],[STARTING INVENTORY]]-Table2[[#This Row],[ENDING INVENTORY]])/(Table2[[#This Row],[STARTING INVENTORY]])</f>
        <v>0.84782608695652173</v>
      </c>
      <c r="M1182">
        <f>Table2[[#This Row],[STARTING INVENTORY]]-Table2[[#This Row],[ENDING INVENTORY]]</f>
        <v>78</v>
      </c>
    </row>
    <row r="1183" spans="1:13">
      <c r="A1183" t="s">
        <v>14</v>
      </c>
      <c r="B1183" t="s">
        <v>166</v>
      </c>
      <c r="C1183" t="s">
        <v>40</v>
      </c>
      <c r="D1183" t="s">
        <v>33</v>
      </c>
      <c r="E1183" s="3">
        <v>1.6</v>
      </c>
      <c r="F1183" s="3">
        <v>1.6160000000000001</v>
      </c>
      <c r="G1183">
        <v>1.97</v>
      </c>
      <c r="H1183" s="3">
        <v>3.1520000000000001</v>
      </c>
      <c r="I1183">
        <v>48</v>
      </c>
      <c r="J1183">
        <v>0</v>
      </c>
      <c r="K1183">
        <v>34</v>
      </c>
      <c r="L1183" s="13">
        <f>(Table2[[#This Row],[STARTING INVENTORY]]-Table2[[#This Row],[ENDING INVENTORY]])/(Table2[[#This Row],[STARTING INVENTORY]])</f>
        <v>0.29166666666666669</v>
      </c>
      <c r="M1183">
        <f>Table2[[#This Row],[STARTING INVENTORY]]-Table2[[#This Row],[ENDING INVENTORY]]</f>
        <v>14</v>
      </c>
    </row>
    <row r="1184" spans="1:13">
      <c r="A1184" t="s">
        <v>14</v>
      </c>
      <c r="B1184" t="s">
        <v>166</v>
      </c>
      <c r="C1184" t="s">
        <v>46</v>
      </c>
      <c r="D1184" t="s">
        <v>33</v>
      </c>
      <c r="E1184" s="3">
        <v>1.35</v>
      </c>
      <c r="F1184" s="3">
        <v>1.3635000000000002</v>
      </c>
      <c r="G1184">
        <v>1.98</v>
      </c>
      <c r="H1184" s="3">
        <v>2.673</v>
      </c>
      <c r="I1184">
        <v>113</v>
      </c>
      <c r="J1184">
        <v>3</v>
      </c>
      <c r="K1184">
        <v>36</v>
      </c>
      <c r="L1184" s="13">
        <f>(Table2[[#This Row],[STARTING INVENTORY]]-Table2[[#This Row],[ENDING INVENTORY]])/(Table2[[#This Row],[STARTING INVENTORY]])</f>
        <v>0.68141592920353977</v>
      </c>
      <c r="M1184">
        <f>Table2[[#This Row],[STARTING INVENTORY]]-Table2[[#This Row],[ENDING INVENTORY]]</f>
        <v>77</v>
      </c>
    </row>
    <row r="1185" spans="1:13">
      <c r="A1185" t="s">
        <v>14</v>
      </c>
      <c r="B1185" t="s">
        <v>166</v>
      </c>
      <c r="C1185" t="s">
        <v>52</v>
      </c>
      <c r="D1185" t="s">
        <v>33</v>
      </c>
      <c r="E1185" s="3">
        <v>1.6</v>
      </c>
      <c r="F1185" s="3">
        <v>1.6160000000000001</v>
      </c>
      <c r="G1185">
        <v>1.97</v>
      </c>
      <c r="H1185" s="3">
        <v>3.1520000000000001</v>
      </c>
      <c r="I1185">
        <v>91</v>
      </c>
      <c r="J1185">
        <v>2</v>
      </c>
      <c r="K1185">
        <v>0</v>
      </c>
      <c r="L1185" s="13">
        <f>(Table2[[#This Row],[STARTING INVENTORY]]-Table2[[#This Row],[ENDING INVENTORY]])/(Table2[[#This Row],[STARTING INVENTORY]])</f>
        <v>1</v>
      </c>
      <c r="M1185">
        <f>Table2[[#This Row],[STARTING INVENTORY]]-Table2[[#This Row],[ENDING INVENTORY]]</f>
        <v>91</v>
      </c>
    </row>
    <row r="1186" spans="1:13">
      <c r="A1186" t="s">
        <v>14</v>
      </c>
      <c r="B1186" t="s">
        <v>166</v>
      </c>
      <c r="C1186" t="s">
        <v>58</v>
      </c>
      <c r="D1186" t="s">
        <v>33</v>
      </c>
      <c r="E1186" s="3">
        <v>2.1</v>
      </c>
      <c r="F1186" s="3">
        <v>2.121</v>
      </c>
      <c r="G1186">
        <v>2.1</v>
      </c>
      <c r="H1186" s="3">
        <v>4.41</v>
      </c>
      <c r="I1186">
        <v>96</v>
      </c>
      <c r="J1186">
        <v>1</v>
      </c>
      <c r="K1186">
        <v>66</v>
      </c>
      <c r="L1186" s="13">
        <f>(Table2[[#This Row],[STARTING INVENTORY]]-Table2[[#This Row],[ENDING INVENTORY]])/(Table2[[#This Row],[STARTING INVENTORY]])</f>
        <v>0.3125</v>
      </c>
      <c r="M1186">
        <f>Table2[[#This Row],[STARTING INVENTORY]]-Table2[[#This Row],[ENDING INVENTORY]]</f>
        <v>30</v>
      </c>
    </row>
    <row r="1187" spans="1:13">
      <c r="A1187" t="s">
        <v>14</v>
      </c>
      <c r="B1187" t="s">
        <v>166</v>
      </c>
      <c r="C1187" t="s">
        <v>64</v>
      </c>
      <c r="D1187" t="s">
        <v>33</v>
      </c>
      <c r="E1187" s="3">
        <v>1.85</v>
      </c>
      <c r="F1187" s="3">
        <v>1.8685</v>
      </c>
      <c r="G1187">
        <v>2.0700000000000003</v>
      </c>
      <c r="H1187" s="3">
        <v>3.8295000000000008</v>
      </c>
      <c r="I1187">
        <v>65</v>
      </c>
      <c r="J1187">
        <v>1</v>
      </c>
      <c r="K1187">
        <v>23</v>
      </c>
      <c r="L1187" s="13">
        <f>(Table2[[#This Row],[STARTING INVENTORY]]-Table2[[#This Row],[ENDING INVENTORY]])/(Table2[[#This Row],[STARTING INVENTORY]])</f>
        <v>0.64615384615384619</v>
      </c>
      <c r="M1187">
        <f>Table2[[#This Row],[STARTING INVENTORY]]-Table2[[#This Row],[ENDING INVENTORY]]</f>
        <v>42</v>
      </c>
    </row>
    <row r="1188" spans="1:13">
      <c r="A1188" t="s">
        <v>14</v>
      </c>
      <c r="B1188" t="s">
        <v>166</v>
      </c>
      <c r="C1188" t="s">
        <v>70</v>
      </c>
      <c r="D1188" t="s">
        <v>33</v>
      </c>
      <c r="E1188" s="3">
        <v>1.55</v>
      </c>
      <c r="F1188" s="3">
        <v>1.5655000000000001</v>
      </c>
      <c r="G1188">
        <v>1.95</v>
      </c>
      <c r="H1188" s="3">
        <v>3.0225</v>
      </c>
      <c r="I1188">
        <v>80</v>
      </c>
      <c r="J1188">
        <v>4</v>
      </c>
      <c r="K1188">
        <v>26</v>
      </c>
      <c r="L1188" s="13">
        <f>(Table2[[#This Row],[STARTING INVENTORY]]-Table2[[#This Row],[ENDING INVENTORY]])/(Table2[[#This Row],[STARTING INVENTORY]])</f>
        <v>0.67500000000000004</v>
      </c>
      <c r="M1188">
        <f>Table2[[#This Row],[STARTING INVENTORY]]-Table2[[#This Row],[ENDING INVENTORY]]</f>
        <v>54</v>
      </c>
    </row>
    <row r="1189" spans="1:13">
      <c r="A1189" t="s">
        <v>14</v>
      </c>
      <c r="B1189" t="s">
        <v>166</v>
      </c>
      <c r="C1189" t="s">
        <v>76</v>
      </c>
      <c r="D1189" t="s">
        <v>33</v>
      </c>
      <c r="E1189" s="3">
        <v>1.55</v>
      </c>
      <c r="F1189" s="3">
        <v>1.5655000000000001</v>
      </c>
      <c r="G1189">
        <v>2.04</v>
      </c>
      <c r="H1189" s="3">
        <v>3.1620000000000004</v>
      </c>
      <c r="I1189">
        <v>74</v>
      </c>
      <c r="J1189">
        <v>0</v>
      </c>
      <c r="K1189">
        <v>39</v>
      </c>
      <c r="L1189" s="13">
        <f>(Table2[[#This Row],[STARTING INVENTORY]]-Table2[[#This Row],[ENDING INVENTORY]])/(Table2[[#This Row],[STARTING INVENTORY]])</f>
        <v>0.47297297297297297</v>
      </c>
      <c r="M1189">
        <f>Table2[[#This Row],[STARTING INVENTORY]]-Table2[[#This Row],[ENDING INVENTORY]]</f>
        <v>35</v>
      </c>
    </row>
    <row r="1190" spans="1:13">
      <c r="A1190" t="s">
        <v>14</v>
      </c>
      <c r="B1190" t="s">
        <v>166</v>
      </c>
      <c r="C1190" t="s">
        <v>82</v>
      </c>
      <c r="D1190" t="s">
        <v>33</v>
      </c>
      <c r="E1190" s="3">
        <v>1.75</v>
      </c>
      <c r="F1190" s="3">
        <v>1.7675000000000001</v>
      </c>
      <c r="G1190">
        <v>2.08</v>
      </c>
      <c r="H1190" s="3">
        <v>3.64</v>
      </c>
      <c r="I1190">
        <v>102</v>
      </c>
      <c r="J1190">
        <v>0</v>
      </c>
      <c r="K1190">
        <v>62</v>
      </c>
      <c r="L1190" s="13">
        <f>(Table2[[#This Row],[STARTING INVENTORY]]-Table2[[#This Row],[ENDING INVENTORY]])/(Table2[[#This Row],[STARTING INVENTORY]])</f>
        <v>0.39215686274509803</v>
      </c>
      <c r="M1190">
        <f>Table2[[#This Row],[STARTING INVENTORY]]-Table2[[#This Row],[ENDING INVENTORY]]</f>
        <v>40</v>
      </c>
    </row>
    <row r="1191" spans="1:13">
      <c r="A1191" t="s">
        <v>14</v>
      </c>
      <c r="B1191" t="s">
        <v>166</v>
      </c>
      <c r="C1191" t="s">
        <v>88</v>
      </c>
      <c r="D1191" t="s">
        <v>33</v>
      </c>
      <c r="E1191" s="3">
        <v>2.2000000000000002</v>
      </c>
      <c r="F1191" s="3">
        <v>2.2220000000000004</v>
      </c>
      <c r="G1191">
        <v>2.09</v>
      </c>
      <c r="H1191" s="3">
        <v>4.5979999999999999</v>
      </c>
      <c r="I1191">
        <v>64</v>
      </c>
      <c r="J1191">
        <v>4</v>
      </c>
      <c r="K1191">
        <v>60</v>
      </c>
      <c r="L1191" s="13">
        <f>(Table2[[#This Row],[STARTING INVENTORY]]-Table2[[#This Row],[ENDING INVENTORY]])/(Table2[[#This Row],[STARTING INVENTORY]])</f>
        <v>6.25E-2</v>
      </c>
      <c r="M1191">
        <f>Table2[[#This Row],[STARTING INVENTORY]]-Table2[[#This Row],[ENDING INVENTORY]]</f>
        <v>4</v>
      </c>
    </row>
    <row r="1192" spans="1:13">
      <c r="A1192" t="s">
        <v>14</v>
      </c>
      <c r="B1192" t="s">
        <v>166</v>
      </c>
      <c r="C1192" t="s">
        <v>94</v>
      </c>
      <c r="D1192" t="s">
        <v>33</v>
      </c>
      <c r="E1192" s="3">
        <v>2.75</v>
      </c>
      <c r="F1192" s="3">
        <v>2.7774999999999999</v>
      </c>
      <c r="G1192">
        <v>1.99</v>
      </c>
      <c r="H1192" s="3">
        <v>5.4725000000000001</v>
      </c>
      <c r="I1192">
        <v>129</v>
      </c>
      <c r="J1192">
        <v>2</v>
      </c>
      <c r="K1192">
        <v>35</v>
      </c>
      <c r="L1192" s="13">
        <f>(Table2[[#This Row],[STARTING INVENTORY]]-Table2[[#This Row],[ENDING INVENTORY]])/(Table2[[#This Row],[STARTING INVENTORY]])</f>
        <v>0.72868217054263562</v>
      </c>
      <c r="M1192">
        <f>Table2[[#This Row],[STARTING INVENTORY]]-Table2[[#This Row],[ENDING INVENTORY]]</f>
        <v>94</v>
      </c>
    </row>
    <row r="1193" spans="1:13">
      <c r="A1193" t="s">
        <v>14</v>
      </c>
      <c r="B1193" t="s">
        <v>166</v>
      </c>
      <c r="C1193" t="s">
        <v>100</v>
      </c>
      <c r="D1193" t="s">
        <v>33</v>
      </c>
      <c r="E1193" s="3">
        <v>2.4</v>
      </c>
      <c r="F1193" s="3">
        <v>2.4239999999999999</v>
      </c>
      <c r="G1193">
        <v>2.0099999999999998</v>
      </c>
      <c r="H1193" s="3">
        <v>4.823999999999999</v>
      </c>
      <c r="I1193">
        <v>114</v>
      </c>
      <c r="J1193">
        <v>0</v>
      </c>
      <c r="K1193">
        <v>97</v>
      </c>
      <c r="L1193" s="13">
        <f>(Table2[[#This Row],[STARTING INVENTORY]]-Table2[[#This Row],[ENDING INVENTORY]])/(Table2[[#This Row],[STARTING INVENTORY]])</f>
        <v>0.14912280701754385</v>
      </c>
      <c r="M1193">
        <f>Table2[[#This Row],[STARTING INVENTORY]]-Table2[[#This Row],[ENDING INVENTORY]]</f>
        <v>17</v>
      </c>
    </row>
    <row r="1194" spans="1:13">
      <c r="A1194" t="s">
        <v>14</v>
      </c>
      <c r="B1194" t="s">
        <v>166</v>
      </c>
      <c r="C1194" t="s">
        <v>106</v>
      </c>
      <c r="D1194" t="s">
        <v>33</v>
      </c>
      <c r="E1194" s="3">
        <v>2.7</v>
      </c>
      <c r="F1194" s="3">
        <v>2.7270000000000003</v>
      </c>
      <c r="G1194">
        <v>1.98</v>
      </c>
      <c r="H1194" s="3">
        <v>5.3460000000000001</v>
      </c>
      <c r="I1194">
        <v>77</v>
      </c>
      <c r="J1194">
        <v>6</v>
      </c>
      <c r="K1194">
        <v>23</v>
      </c>
      <c r="L1194" s="13">
        <f>(Table2[[#This Row],[STARTING INVENTORY]]-Table2[[#This Row],[ENDING INVENTORY]])/(Table2[[#This Row],[STARTING INVENTORY]])</f>
        <v>0.70129870129870131</v>
      </c>
      <c r="M1194">
        <f>Table2[[#This Row],[STARTING INVENTORY]]-Table2[[#This Row],[ENDING INVENTORY]]</f>
        <v>54</v>
      </c>
    </row>
    <row r="1195" spans="1:13">
      <c r="A1195" t="s">
        <v>14</v>
      </c>
      <c r="B1195" t="s">
        <v>166</v>
      </c>
      <c r="C1195" t="s">
        <v>112</v>
      </c>
      <c r="D1195" t="s">
        <v>33</v>
      </c>
      <c r="E1195" s="3">
        <v>2.6</v>
      </c>
      <c r="F1195" s="3">
        <v>2.6260000000000003</v>
      </c>
      <c r="G1195">
        <v>1.95</v>
      </c>
      <c r="H1195" s="3">
        <v>5.07</v>
      </c>
      <c r="I1195">
        <v>41</v>
      </c>
      <c r="J1195">
        <v>1</v>
      </c>
      <c r="K1195">
        <v>23</v>
      </c>
      <c r="L1195" s="13">
        <f>(Table2[[#This Row],[STARTING INVENTORY]]-Table2[[#This Row],[ENDING INVENTORY]])/(Table2[[#This Row],[STARTING INVENTORY]])</f>
        <v>0.43902439024390244</v>
      </c>
      <c r="M1195">
        <f>Table2[[#This Row],[STARTING INVENTORY]]-Table2[[#This Row],[ENDING INVENTORY]]</f>
        <v>18</v>
      </c>
    </row>
    <row r="1196" spans="1:13">
      <c r="A1196" t="s">
        <v>14</v>
      </c>
      <c r="B1196" t="s">
        <v>166</v>
      </c>
      <c r="C1196" t="s">
        <v>118</v>
      </c>
      <c r="D1196" t="s">
        <v>33</v>
      </c>
      <c r="E1196" s="3">
        <v>4</v>
      </c>
      <c r="F1196" s="3">
        <v>4.04</v>
      </c>
      <c r="G1196">
        <v>2.0700000000000003</v>
      </c>
      <c r="H1196" s="3">
        <v>8.2800000000000011</v>
      </c>
      <c r="I1196">
        <v>46</v>
      </c>
      <c r="J1196">
        <v>5</v>
      </c>
      <c r="K1196">
        <v>41</v>
      </c>
      <c r="L1196" s="13">
        <f>(Table2[[#This Row],[STARTING INVENTORY]]-Table2[[#This Row],[ENDING INVENTORY]])/(Table2[[#This Row],[STARTING INVENTORY]])</f>
        <v>0.10869565217391304</v>
      </c>
      <c r="M1196">
        <f>Table2[[#This Row],[STARTING INVENTORY]]-Table2[[#This Row],[ENDING INVENTORY]]</f>
        <v>5</v>
      </c>
    </row>
    <row r="1197" spans="1:13">
      <c r="A1197" t="s">
        <v>14</v>
      </c>
      <c r="B1197" t="s">
        <v>166</v>
      </c>
      <c r="C1197" t="s">
        <v>124</v>
      </c>
      <c r="D1197" t="s">
        <v>33</v>
      </c>
      <c r="E1197" s="3">
        <v>4.25</v>
      </c>
      <c r="F1197" s="3">
        <v>4.2925000000000004</v>
      </c>
      <c r="G1197">
        <v>2.08</v>
      </c>
      <c r="H1197" s="3">
        <v>8.84</v>
      </c>
      <c r="I1197">
        <v>121</v>
      </c>
      <c r="J1197">
        <v>5</v>
      </c>
      <c r="K1197">
        <v>3</v>
      </c>
      <c r="L1197" s="13">
        <f>(Table2[[#This Row],[STARTING INVENTORY]]-Table2[[#This Row],[ENDING INVENTORY]])/(Table2[[#This Row],[STARTING INVENTORY]])</f>
        <v>0.97520661157024791</v>
      </c>
      <c r="M1197">
        <f>Table2[[#This Row],[STARTING INVENTORY]]-Table2[[#This Row],[ENDING INVENTORY]]</f>
        <v>118</v>
      </c>
    </row>
    <row r="1198" spans="1:13">
      <c r="A1198" t="s">
        <v>14</v>
      </c>
      <c r="B1198" t="s">
        <v>166</v>
      </c>
      <c r="C1198" t="s">
        <v>130</v>
      </c>
      <c r="D1198" t="s">
        <v>33</v>
      </c>
      <c r="E1198" s="3">
        <v>5</v>
      </c>
      <c r="F1198" s="3">
        <v>5.05</v>
      </c>
      <c r="G1198">
        <v>2.06</v>
      </c>
      <c r="H1198" s="3">
        <v>10.3</v>
      </c>
      <c r="I1198">
        <v>130</v>
      </c>
      <c r="J1198">
        <v>3</v>
      </c>
      <c r="K1198">
        <v>66</v>
      </c>
      <c r="L1198" s="13">
        <f>(Table2[[#This Row],[STARTING INVENTORY]]-Table2[[#This Row],[ENDING INVENTORY]])/(Table2[[#This Row],[STARTING INVENTORY]])</f>
        <v>0.49230769230769234</v>
      </c>
      <c r="M1198">
        <f>Table2[[#This Row],[STARTING INVENTORY]]-Table2[[#This Row],[ENDING INVENTORY]]</f>
        <v>64</v>
      </c>
    </row>
    <row r="1199" spans="1:13">
      <c r="A1199" t="s">
        <v>14</v>
      </c>
      <c r="B1199" t="s">
        <v>166</v>
      </c>
      <c r="C1199" t="s">
        <v>136</v>
      </c>
      <c r="D1199" t="s">
        <v>33</v>
      </c>
      <c r="E1199" s="3">
        <v>3</v>
      </c>
      <c r="F1199" s="3">
        <v>3.0300000000000002</v>
      </c>
      <c r="G1199">
        <v>2.0300000000000002</v>
      </c>
      <c r="H1199" s="3">
        <v>6.0900000000000007</v>
      </c>
      <c r="I1199">
        <v>73</v>
      </c>
      <c r="J1199">
        <v>2</v>
      </c>
      <c r="K1199">
        <v>33</v>
      </c>
      <c r="L1199" s="13">
        <f>(Table2[[#This Row],[STARTING INVENTORY]]-Table2[[#This Row],[ENDING INVENTORY]])/(Table2[[#This Row],[STARTING INVENTORY]])</f>
        <v>0.54794520547945202</v>
      </c>
      <c r="M1199">
        <f>Table2[[#This Row],[STARTING INVENTORY]]-Table2[[#This Row],[ENDING INVENTORY]]</f>
        <v>40</v>
      </c>
    </row>
    <row r="1200" spans="1:13">
      <c r="A1200" t="s">
        <v>14</v>
      </c>
      <c r="B1200" t="s">
        <v>166</v>
      </c>
      <c r="C1200" t="s">
        <v>142</v>
      </c>
      <c r="D1200" t="s">
        <v>33</v>
      </c>
      <c r="E1200" s="3">
        <v>2.4</v>
      </c>
      <c r="F1200" s="3">
        <v>2.4239999999999999</v>
      </c>
      <c r="G1200">
        <v>2.09</v>
      </c>
      <c r="H1200" s="3">
        <v>5.0159999999999991</v>
      </c>
      <c r="I1200">
        <v>130</v>
      </c>
      <c r="J1200">
        <v>9</v>
      </c>
      <c r="K1200">
        <v>56</v>
      </c>
      <c r="L1200" s="13">
        <f>(Table2[[#This Row],[STARTING INVENTORY]]-Table2[[#This Row],[ENDING INVENTORY]])/(Table2[[#This Row],[STARTING INVENTORY]])</f>
        <v>0.56923076923076921</v>
      </c>
      <c r="M1200">
        <f>Table2[[#This Row],[STARTING INVENTORY]]-Table2[[#This Row],[ENDING INVENTORY]]</f>
        <v>74</v>
      </c>
    </row>
    <row r="1201" spans="1:13">
      <c r="A1201" t="s">
        <v>14</v>
      </c>
      <c r="B1201" t="s">
        <v>166</v>
      </c>
      <c r="C1201" t="s">
        <v>148</v>
      </c>
      <c r="D1201" t="s">
        <v>33</v>
      </c>
      <c r="E1201" s="3">
        <v>3.25</v>
      </c>
      <c r="F1201" s="3">
        <v>3.2825000000000002</v>
      </c>
      <c r="G1201">
        <v>2</v>
      </c>
      <c r="H1201" s="3">
        <v>6.5</v>
      </c>
      <c r="I1201">
        <v>56</v>
      </c>
      <c r="J1201">
        <v>0</v>
      </c>
      <c r="K1201">
        <v>48</v>
      </c>
      <c r="L1201" s="13">
        <f>(Table2[[#This Row],[STARTING INVENTORY]]-Table2[[#This Row],[ENDING INVENTORY]])/(Table2[[#This Row],[STARTING INVENTORY]])</f>
        <v>0.14285714285714285</v>
      </c>
      <c r="M1201">
        <f>Table2[[#This Row],[STARTING INVENTORY]]-Table2[[#This Row],[ENDING INVENTORY]]</f>
        <v>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A26D6-C76F-463C-86DE-3970E874223C}">
  <dimension ref="A1:E3"/>
  <sheetViews>
    <sheetView workbookViewId="0">
      <selection activeCell="D5" sqref="D5"/>
    </sheetView>
  </sheetViews>
  <sheetFormatPr defaultRowHeight="20.25"/>
  <cols>
    <col min="1" max="1" width="21" style="16" customWidth="1"/>
    <col min="2" max="2" width="14.5703125" style="16" bestFit="1" customWidth="1"/>
    <col min="3" max="3" width="9.140625" style="16"/>
    <col min="4" max="4" width="19.42578125" style="16" customWidth="1"/>
    <col min="5" max="5" width="21.85546875" style="16" customWidth="1"/>
    <col min="6" max="6" width="9.140625" style="16"/>
    <col min="7" max="7" width="28.42578125" style="16" customWidth="1"/>
    <col min="8" max="16384" width="9.140625" style="16"/>
  </cols>
  <sheetData>
    <row r="1" spans="1:5">
      <c r="A1" s="17" t="s">
        <v>167</v>
      </c>
      <c r="B1" s="17"/>
      <c r="D1" s="17" t="s">
        <v>168</v>
      </c>
      <c r="E1" s="17"/>
    </row>
    <row r="2" spans="1:5">
      <c r="A2" s="16" t="s">
        <v>169</v>
      </c>
      <c r="B2" s="16" t="s">
        <v>170</v>
      </c>
      <c r="D2" s="16" t="s">
        <v>169</v>
      </c>
      <c r="E2" s="16" t="s">
        <v>170</v>
      </c>
    </row>
    <row r="3" spans="1:5">
      <c r="A3" s="16" t="s">
        <v>171</v>
      </c>
      <c r="B3" s="16" t="s">
        <v>172</v>
      </c>
      <c r="D3" s="16" t="s">
        <v>173</v>
      </c>
      <c r="E3" s="16" t="s">
        <v>172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B5FD9-DB2F-4058-9568-6E55AF13CD32}">
  <dimension ref="A2:B13"/>
  <sheetViews>
    <sheetView workbookViewId="0">
      <selection activeCell="AB6" sqref="AB6"/>
    </sheetView>
  </sheetViews>
  <sheetFormatPr defaultRowHeight="15"/>
  <cols>
    <col min="1" max="1" width="13.28515625" bestFit="1" customWidth="1"/>
    <col min="2" max="3" width="11.7109375" bestFit="1" customWidth="1"/>
    <col min="4" max="4" width="26.140625" bestFit="1" customWidth="1"/>
    <col min="5" max="79" width="3.28515625" bestFit="1" customWidth="1"/>
    <col min="80" max="175" width="4.42578125" bestFit="1" customWidth="1"/>
    <col min="176" max="177" width="11.42578125" bestFit="1" customWidth="1"/>
  </cols>
  <sheetData>
    <row r="2" spans="1:2">
      <c r="A2" s="12" t="s">
        <v>150</v>
      </c>
      <c r="B2" t="s">
        <v>174</v>
      </c>
    </row>
    <row r="3" spans="1:2">
      <c r="A3" t="s">
        <v>14</v>
      </c>
      <c r="B3">
        <v>5352</v>
      </c>
    </row>
    <row r="4" spans="1:2">
      <c r="A4" t="s">
        <v>10</v>
      </c>
      <c r="B4">
        <v>6094</v>
      </c>
    </row>
    <row r="5" spans="1:2">
      <c r="A5" t="s">
        <v>9</v>
      </c>
      <c r="B5">
        <v>5237</v>
      </c>
    </row>
    <row r="6" spans="1:2">
      <c r="A6" t="s">
        <v>12</v>
      </c>
      <c r="B6">
        <v>2176</v>
      </c>
    </row>
    <row r="7" spans="1:2">
      <c r="A7" t="s">
        <v>6</v>
      </c>
      <c r="B7">
        <v>6254</v>
      </c>
    </row>
    <row r="8" spans="1:2">
      <c r="A8" t="s">
        <v>13</v>
      </c>
      <c r="B8">
        <v>6015</v>
      </c>
    </row>
    <row r="9" spans="1:2">
      <c r="A9" t="s">
        <v>8</v>
      </c>
      <c r="B9">
        <v>5856</v>
      </c>
    </row>
    <row r="10" spans="1:2">
      <c r="A10" t="s">
        <v>7</v>
      </c>
      <c r="B10">
        <v>5856</v>
      </c>
    </row>
    <row r="11" spans="1:2">
      <c r="A11" t="s">
        <v>5</v>
      </c>
      <c r="B11">
        <v>5642</v>
      </c>
    </row>
    <row r="12" spans="1:2">
      <c r="A12" t="s">
        <v>11</v>
      </c>
      <c r="B12">
        <v>5647</v>
      </c>
    </row>
    <row r="13" spans="1:2">
      <c r="A13" t="s">
        <v>175</v>
      </c>
      <c r="B13">
        <v>54129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9A6126A237F147B35154137202B7D2" ma:contentTypeVersion="3" ma:contentTypeDescription="Create a new document." ma:contentTypeScope="" ma:versionID="d8b7bf5b22dc467a6df57ba9d81314e5">
  <xsd:schema xmlns:xsd="http://www.w3.org/2001/XMLSchema" xmlns:xs="http://www.w3.org/2001/XMLSchema" xmlns:p="http://schemas.microsoft.com/office/2006/metadata/properties" xmlns:ns2="0609833e-dc9b-47e6-9ec8-e381bc9efc82" targetNamespace="http://schemas.microsoft.com/office/2006/metadata/properties" ma:root="true" ma:fieldsID="a921685cf56550d5ca573684d9fbfe30" ns2:_="">
    <xsd:import namespace="0609833e-dc9b-47e6-9ec8-e381bc9efc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833e-dc9b-47e6-9ec8-e381bc9efc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C39C47-869F-43A4-91F9-7A2DE0ECB270}"/>
</file>

<file path=customXml/itemProps2.xml><?xml version="1.0" encoding="utf-8"?>
<ds:datastoreItem xmlns:ds="http://schemas.openxmlformats.org/officeDocument/2006/customXml" ds:itemID="{94C5E428-D385-45BC-80D8-101F07588715}"/>
</file>

<file path=customXml/itemProps3.xml><?xml version="1.0" encoding="utf-8"?>
<ds:datastoreItem xmlns:ds="http://schemas.openxmlformats.org/officeDocument/2006/customXml" ds:itemID="{DA7B78F1-A66A-46DB-9A02-645699CF2929}"/>
</file>

<file path=customXml/itemProps4.xml><?xml version="1.0" encoding="utf-8"?>
<ds:datastoreItem xmlns:ds="http://schemas.openxmlformats.org/officeDocument/2006/customXml" ds:itemID="{3D6ED2E5-EBF8-4C10-BE1A-9D8BA734A2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Vazquez</dc:creator>
  <cp:keywords/>
  <dc:description/>
  <cp:lastModifiedBy>Cristian Vazquez</cp:lastModifiedBy>
  <cp:revision/>
  <dcterms:created xsi:type="dcterms:W3CDTF">2025-05-06T17:05:43Z</dcterms:created>
  <dcterms:modified xsi:type="dcterms:W3CDTF">2025-10-11T15:36:05Z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e8eed3-d905-479d-9a27-111bb9e4ff59_Enabled">
    <vt:lpwstr>true</vt:lpwstr>
  </property>
  <property fmtid="{D5CDD505-2E9C-101B-9397-08002B2CF9AE}" pid="3" name="MSIP_Label_21e8eed3-d905-479d-9a27-111bb9e4ff59_SetDate">
    <vt:lpwstr>2025-05-06T18:30:03Z</vt:lpwstr>
  </property>
  <property fmtid="{D5CDD505-2E9C-101B-9397-08002B2CF9AE}" pid="4" name="MSIP_Label_21e8eed3-d905-479d-9a27-111bb9e4ff59_Method">
    <vt:lpwstr>Standard</vt:lpwstr>
  </property>
  <property fmtid="{D5CDD505-2E9C-101B-9397-08002B2CF9AE}" pid="5" name="MSIP_Label_21e8eed3-d905-479d-9a27-111bb9e4ff59_Name">
    <vt:lpwstr>Sensitivity Label - Internal</vt:lpwstr>
  </property>
  <property fmtid="{D5CDD505-2E9C-101B-9397-08002B2CF9AE}" pid="6" name="MSIP_Label_21e8eed3-d905-479d-9a27-111bb9e4ff59_SiteId">
    <vt:lpwstr>74e8c284-3410-4349-85ac-7157c206039a</vt:lpwstr>
  </property>
  <property fmtid="{D5CDD505-2E9C-101B-9397-08002B2CF9AE}" pid="7" name="MSIP_Label_21e8eed3-d905-479d-9a27-111bb9e4ff59_ActionId">
    <vt:lpwstr>cee751d7-d6ed-46ca-97ee-85e8307e17d2</vt:lpwstr>
  </property>
  <property fmtid="{D5CDD505-2E9C-101B-9397-08002B2CF9AE}" pid="8" name="MSIP_Label_21e8eed3-d905-479d-9a27-111bb9e4ff59_ContentBits">
    <vt:lpwstr>0</vt:lpwstr>
  </property>
  <property fmtid="{D5CDD505-2E9C-101B-9397-08002B2CF9AE}" pid="9" name="MSIP_Label_21e8eed3-d905-479d-9a27-111bb9e4ff59_Tag">
    <vt:lpwstr>10, 3, 0, 1</vt:lpwstr>
  </property>
  <property fmtid="{D5CDD505-2E9C-101B-9397-08002B2CF9AE}" pid="10" name="ContentTypeId">
    <vt:lpwstr>0x010100F39A6126A237F147B35154137202B7D2</vt:lpwstr>
  </property>
  <property fmtid="{D5CDD505-2E9C-101B-9397-08002B2CF9AE}" pid="11" name="ComplianceAssetId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</Properties>
</file>